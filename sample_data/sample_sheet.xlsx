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居者管理表" sheetId="1" r:id="rId5"/>
    <sheet state="visible" name="シート8" sheetId="2" r:id="rId6"/>
    <sheet state="visible" name="シート6" sheetId="3" r:id="rId7"/>
    <sheet state="visible" name="シート7" sheetId="4" r:id="rId8"/>
    <sheet state="visible" name="シート5" sheetId="5" r:id="rId9"/>
    <sheet state="visible" name="シート2" sheetId="6" r:id="rId10"/>
    <sheet state="visible" name="シート1 のコピー" sheetId="7" r:id="rId11"/>
    <sheet state="visible" name="シート3" sheetId="8" r:id="rId12"/>
    <sheet state="visible" name="施設備品" sheetId="9" r:id="rId13"/>
  </sheets>
  <definedNames/>
  <calcPr/>
</workbook>
</file>

<file path=xl/sharedStrings.xml><?xml version="1.0" encoding="utf-8"?>
<sst xmlns="http://schemas.openxmlformats.org/spreadsheetml/2006/main" count="1265" uniqueCount="398">
  <si>
    <t>おむつ・パッド類集計表 （よみよみ）</t>
  </si>
  <si>
    <t>小澤 よし子</t>
  </si>
  <si>
    <t>令和8年</t>
  </si>
  <si>
    <t>様</t>
  </si>
  <si>
    <t>3月分</t>
  </si>
  <si>
    <t>お客様名</t>
  </si>
  <si>
    <t>尿取りパッド
 スーパー</t>
  </si>
  <si>
    <t>部屋番号</t>
  </si>
  <si>
    <t>うす型快適
 パンツ</t>
  </si>
  <si>
    <t>一晩中安心
 さらさらパッド</t>
  </si>
  <si>
    <t>長時間安心
 さらさら
 パッド</t>
  </si>
  <si>
    <t>かんたん装着
 パッド</t>
  </si>
  <si>
    <t>快適さらさら
 カバータイプ</t>
  </si>
  <si>
    <t>さわやかパッド
 快適の中量用</t>
  </si>
  <si>
    <t>さわやかパッド
 安心の中菱用</t>
  </si>
  <si>
    <t>合計</t>
  </si>
  <si>
    <t>名前</t>
  </si>
  <si>
    <t>おしり
 ふき</t>
  </si>
  <si>
    <t>石垣 和子</t>
  </si>
  <si>
    <t>入居日</t>
  </si>
  <si>
    <t>介護度</t>
  </si>
  <si>
    <t>誕生日</t>
  </si>
  <si>
    <t>年齢</t>
  </si>
  <si>
    <t>合計額</t>
  </si>
  <si>
    <t>熊木　勝</t>
  </si>
  <si>
    <t>長谷川 明代</t>
  </si>
  <si>
    <t>瀬川 清江</t>
  </si>
  <si>
    <t>訪問医</t>
  </si>
  <si>
    <t>S24/06/08</t>
  </si>
  <si>
    <t>口腔衛生</t>
  </si>
  <si>
    <t>男女共用</t>
  </si>
  <si>
    <t>南 君江</t>
  </si>
  <si>
    <t>レギュラー
 M28</t>
  </si>
  <si>
    <t>内山 和司</t>
  </si>
  <si>
    <t>レギュラー
 L26</t>
  </si>
  <si>
    <t>スーパー45</t>
  </si>
  <si>
    <t>48枚</t>
  </si>
  <si>
    <t>佐野 益浩</t>
  </si>
  <si>
    <t>レギュラー54</t>
  </si>
  <si>
    <t>スーパー
 28枚</t>
  </si>
  <si>
    <t>S-M</t>
  </si>
  <si>
    <t>L</t>
  </si>
  <si>
    <t>50cc</t>
  </si>
  <si>
    <t>堀池 智惠子</t>
  </si>
  <si>
    <t>100cc</t>
  </si>
  <si>
    <t>梅原 とし子</t>
  </si>
  <si>
    <t>福祉用具</t>
  </si>
  <si>
    <t>鈴木 トヨ江</t>
  </si>
  <si>
    <t>飯塚 愛子</t>
  </si>
  <si>
    <t>ごはん</t>
  </si>
  <si>
    <t>おかず</t>
  </si>
  <si>
    <t>とろみ</t>
  </si>
  <si>
    <t>吉﨑 壽江</t>
  </si>
  <si>
    <t>エアコン</t>
  </si>
  <si>
    <t>石垣　和子</t>
  </si>
  <si>
    <t>早出し</t>
  </si>
  <si>
    <t>仲田 幸子</t>
  </si>
  <si>
    <t>費用目安</t>
  </si>
  <si>
    <t>大長 まさ</t>
  </si>
  <si>
    <t>S07/1/12</t>
  </si>
  <si>
    <t>堀井 義介</t>
  </si>
  <si>
    <t>竹田 朝枝</t>
  </si>
  <si>
    <t>海老原 暁子</t>
  </si>
  <si>
    <t>長谷川　明代</t>
  </si>
  <si>
    <t>望月 清子</t>
  </si>
  <si>
    <t>山田 はる江</t>
  </si>
  <si>
    <t>井上Dr.　城西</t>
  </si>
  <si>
    <t>S13/9/29</t>
  </si>
  <si>
    <t>西澤 恵美子</t>
  </si>
  <si>
    <t>施　車椅子</t>
  </si>
  <si>
    <t>澤田 和男</t>
  </si>
  <si>
    <t>山本 君江</t>
  </si>
  <si>
    <t>瀬川　清江</t>
  </si>
  <si>
    <t>〇</t>
  </si>
  <si>
    <t>八倉 昌弘</t>
  </si>
  <si>
    <t>S07/09/06</t>
  </si>
  <si>
    <t>小田 芳江</t>
  </si>
  <si>
    <t>月額実費</t>
  </si>
  <si>
    <t>家賃</t>
  </si>
  <si>
    <t>管理費</t>
  </si>
  <si>
    <t>松浦 睦子</t>
  </si>
  <si>
    <t>食費</t>
  </si>
  <si>
    <t>日割り</t>
  </si>
  <si>
    <t>一杉 洋子</t>
  </si>
  <si>
    <t>田中 晨子</t>
  </si>
  <si>
    <t>南　君江</t>
  </si>
  <si>
    <t>狩野 厚子</t>
  </si>
  <si>
    <t>S1/12/25</t>
  </si>
  <si>
    <t>藁科 玉江</t>
  </si>
  <si>
    <t>志田 美智子</t>
  </si>
  <si>
    <t>小澤 増江</t>
  </si>
  <si>
    <t>片又 勝美</t>
  </si>
  <si>
    <t>内山　和司</t>
  </si>
  <si>
    <t>漆畑 彌千代</t>
  </si>
  <si>
    <t>鈴木 登喜江</t>
  </si>
  <si>
    <t>S09/03/01</t>
  </si>
  <si>
    <t>稲葉 恵美子</t>
  </si>
  <si>
    <t>安田 愛子</t>
  </si>
  <si>
    <t>池田 久雄</t>
  </si>
  <si>
    <t>佐野　益浩</t>
  </si>
  <si>
    <t>前田 みさ枝</t>
  </si>
  <si>
    <t>片平 美津江</t>
  </si>
  <si>
    <t>S15/02/01</t>
  </si>
  <si>
    <t>三浦 一枝</t>
  </si>
  <si>
    <t>海野 君江</t>
  </si>
  <si>
    <t>鈴木 ハマ</t>
  </si>
  <si>
    <t>堀池　智恵子</t>
  </si>
  <si>
    <t>渡邊 津和代</t>
  </si>
  <si>
    <t>S5/09/05</t>
  </si>
  <si>
    <t>藤田 絹代</t>
  </si>
  <si>
    <t>佐伯 十三枝</t>
  </si>
  <si>
    <t>小倉 馨</t>
  </si>
  <si>
    <t>石川 トメ子</t>
  </si>
  <si>
    <t>堀池Dr.　とやま</t>
  </si>
  <si>
    <t>梅原　とし子</t>
  </si>
  <si>
    <t>青嶋 アツ子</t>
  </si>
  <si>
    <t>佐藤 みつ子</t>
  </si>
  <si>
    <t>S9/11/03</t>
  </si>
  <si>
    <t>軟飯</t>
  </si>
  <si>
    <t>野田 久子</t>
  </si>
  <si>
    <t>一口</t>
  </si>
  <si>
    <t>無し</t>
  </si>
  <si>
    <t>石部 きみ子</t>
  </si>
  <si>
    <t>鈴木　トヨ江</t>
  </si>
  <si>
    <t>S8/12/13</t>
  </si>
  <si>
    <t>飯塚　愛子</t>
  </si>
  <si>
    <t>S16/01/01</t>
  </si>
  <si>
    <t>吉崎　壽江</t>
  </si>
  <si>
    <t>S9/08/21</t>
  </si>
  <si>
    <t>西澤　惠美子</t>
  </si>
  <si>
    <t>S11/9/06</t>
  </si>
  <si>
    <t>大長　まさ</t>
  </si>
  <si>
    <t>T11/04/20</t>
  </si>
  <si>
    <t>小嶋デンタル</t>
  </si>
  <si>
    <t>堀井　義介</t>
  </si>
  <si>
    <t>普通</t>
  </si>
  <si>
    <t>S07/01/18</t>
  </si>
  <si>
    <t>竹田　朝枝</t>
  </si>
  <si>
    <t>S9/01/30</t>
  </si>
  <si>
    <t>海老原　暁子</t>
  </si>
  <si>
    <t>S16/12/16</t>
  </si>
  <si>
    <t>堀井　千沙</t>
  </si>
  <si>
    <t>S15/10/02</t>
  </si>
  <si>
    <t>レ　リクライニング式車椅子</t>
  </si>
  <si>
    <t>全粥</t>
  </si>
  <si>
    <t>山田　はる江</t>
  </si>
  <si>
    <t>きざみ</t>
  </si>
  <si>
    <t>あり</t>
  </si>
  <si>
    <t>S2/02/15</t>
  </si>
  <si>
    <t>食事なし実費</t>
  </si>
  <si>
    <t>澤田　和男</t>
  </si>
  <si>
    <t>S10/10/06</t>
  </si>
  <si>
    <t>花村　喜平</t>
  </si>
  <si>
    <t>野村Dr.　静岡ホーム</t>
  </si>
  <si>
    <t>S14/08/08</t>
  </si>
  <si>
    <t>購　歩行器</t>
  </si>
  <si>
    <t>×</t>
  </si>
  <si>
    <t>八倉　昌弘</t>
  </si>
  <si>
    <t>S13/10/1</t>
  </si>
  <si>
    <t>小田　芳江</t>
  </si>
  <si>
    <t>S11/10/21</t>
  </si>
  <si>
    <t>松浦　睦子</t>
  </si>
  <si>
    <t>S13/1/10</t>
  </si>
  <si>
    <t>一杉　洋子</t>
  </si>
  <si>
    <t>S24/05/08</t>
  </si>
  <si>
    <t>日野Dr.　城西</t>
  </si>
  <si>
    <t>田中　晨子</t>
  </si>
  <si>
    <t>パン</t>
  </si>
  <si>
    <t>S13/03/5</t>
  </si>
  <si>
    <t>小澤よし子</t>
  </si>
  <si>
    <t>石垣和子</t>
  </si>
  <si>
    <t>狩野　厚子</t>
  </si>
  <si>
    <t>長谷川明代</t>
  </si>
  <si>
    <t>鈴木勝代</t>
  </si>
  <si>
    <t>松浦睦子</t>
  </si>
  <si>
    <t>佐野益浩</t>
  </si>
  <si>
    <t>堀池智恵子</t>
  </si>
  <si>
    <t>S28/7/19</t>
  </si>
  <si>
    <t>梅原とし子</t>
  </si>
  <si>
    <t>鈴木トヨ江</t>
  </si>
  <si>
    <t>飯塚愛子</t>
  </si>
  <si>
    <t>吉崎壽江</t>
  </si>
  <si>
    <t>仲田幸子</t>
  </si>
  <si>
    <t>大長まさ</t>
  </si>
  <si>
    <t>堀井義介</t>
  </si>
  <si>
    <t>竹田朝枝</t>
  </si>
  <si>
    <t>深澤紀久子</t>
  </si>
  <si>
    <t>望月清子</t>
  </si>
  <si>
    <t>山田はる江</t>
  </si>
  <si>
    <t>西澤惠美子</t>
  </si>
  <si>
    <t>澤田和男</t>
  </si>
  <si>
    <t>山本君江</t>
  </si>
  <si>
    <t>藁科　玉江</t>
  </si>
  <si>
    <t>八倉昌弘</t>
  </si>
  <si>
    <t>小田芳江</t>
  </si>
  <si>
    <t>高橋和代</t>
  </si>
  <si>
    <t>一杉洋子</t>
  </si>
  <si>
    <t>S16/08/18</t>
  </si>
  <si>
    <t>田中晨子</t>
  </si>
  <si>
    <t>狩野厚子様</t>
  </si>
  <si>
    <t>藁科玉江</t>
  </si>
  <si>
    <t>志田美智子</t>
  </si>
  <si>
    <t>片又勝美</t>
  </si>
  <si>
    <t>漆畑彌千代</t>
  </si>
  <si>
    <t>鈴木登喜江</t>
  </si>
  <si>
    <t>稲葉恵美子</t>
  </si>
  <si>
    <t>安田愛子</t>
  </si>
  <si>
    <t>池田久雄</t>
  </si>
  <si>
    <t>前田みさ枝</t>
  </si>
  <si>
    <t>片平美津江</t>
  </si>
  <si>
    <t>三浦一枝</t>
  </si>
  <si>
    <t>海野君江</t>
  </si>
  <si>
    <t>鈴木ハマ</t>
  </si>
  <si>
    <t>渡邉津和代</t>
  </si>
  <si>
    <t>藤田絹代</t>
  </si>
  <si>
    <t>佐伯十三枝</t>
  </si>
  <si>
    <t>小倉　馨</t>
  </si>
  <si>
    <t>海老原暁子</t>
  </si>
  <si>
    <t>S8/04/02</t>
  </si>
  <si>
    <t>青嶋アツ子</t>
  </si>
  <si>
    <t>佐藤みつ子</t>
  </si>
  <si>
    <t>野田久子</t>
  </si>
  <si>
    <t>服部やす</t>
  </si>
  <si>
    <t>米飯</t>
  </si>
  <si>
    <t>小澤　増江</t>
  </si>
  <si>
    <t>S20/03/05</t>
  </si>
  <si>
    <t>介護1</t>
  </si>
  <si>
    <t>介護2</t>
  </si>
  <si>
    <t>介護3</t>
  </si>
  <si>
    <t>介護4</t>
  </si>
  <si>
    <t>介護5</t>
  </si>
  <si>
    <t>漆畑　彌千代</t>
  </si>
  <si>
    <t>S14/8/08</t>
  </si>
  <si>
    <t>鈴木　登喜江</t>
  </si>
  <si>
    <t>T15/5/12</t>
  </si>
  <si>
    <t>稲葉　恵美子</t>
  </si>
  <si>
    <t>S09/11/27</t>
  </si>
  <si>
    <t>さくらばし歯科</t>
  </si>
  <si>
    <t>安田　愛子</t>
  </si>
  <si>
    <t>S02/04/03</t>
  </si>
  <si>
    <t>池田　久雄</t>
  </si>
  <si>
    <t>S7/08/02</t>
  </si>
  <si>
    <t>購　歩行器, 施　車椅子</t>
  </si>
  <si>
    <t>石川　トメ子</t>
  </si>
  <si>
    <t>S06/11/01</t>
  </si>
  <si>
    <t>片平　美津江</t>
  </si>
  <si>
    <t>S11/11/10</t>
  </si>
  <si>
    <t>三浦　一枝</t>
  </si>
  <si>
    <t>S8/01/30</t>
  </si>
  <si>
    <t>海野　君江</t>
  </si>
  <si>
    <t>S6/09/05</t>
  </si>
  <si>
    <t>鈴木　ハマ</t>
  </si>
  <si>
    <t>S4/09/18</t>
  </si>
  <si>
    <t>渡邉　津和代</t>
  </si>
  <si>
    <t>S4/10/23</t>
  </si>
  <si>
    <t>藤田　絹代</t>
  </si>
  <si>
    <t>S16/1/06</t>
  </si>
  <si>
    <t>佐伯　十三枝</t>
  </si>
  <si>
    <t>S13/1/05</t>
  </si>
  <si>
    <t>S7/02/18</t>
  </si>
  <si>
    <t>内田Dr.　静岡ホーム</t>
  </si>
  <si>
    <t>青嶋　アツ子</t>
  </si>
  <si>
    <t>S15/11/01</t>
  </si>
  <si>
    <t>佐藤　みつ子</t>
  </si>
  <si>
    <t>レンタル</t>
  </si>
  <si>
    <t>写真</t>
  </si>
  <si>
    <t>S5/10/04</t>
  </si>
  <si>
    <t>Column 10</t>
  </si>
  <si>
    <t>野田　久子</t>
  </si>
  <si>
    <t>S15/7/07</t>
  </si>
  <si>
    <t>T15/3/21</t>
  </si>
  <si>
    <t>歩行器</t>
  </si>
  <si>
    <t>石部　きみ子</t>
  </si>
  <si>
    <t>S08/02/10</t>
  </si>
  <si>
    <t>S4/03/21</t>
  </si>
  <si>
    <t>平野Dr　平野</t>
  </si>
  <si>
    <t>施　歩行器</t>
  </si>
  <si>
    <t>S17/2/20</t>
  </si>
  <si>
    <t>多機能車椅子</t>
  </si>
  <si>
    <t>ipad</t>
  </si>
  <si>
    <t>事務所</t>
  </si>
  <si>
    <t>２F-1</t>
  </si>
  <si>
    <t>２F-2</t>
  </si>
  <si>
    <t>３F-１</t>
  </si>
  <si>
    <t>３F-2</t>
  </si>
  <si>
    <t>デスクトップパソコン</t>
  </si>
  <si>
    <t>施設長</t>
  </si>
  <si>
    <t>事務員</t>
  </si>
  <si>
    <t>相談員</t>
  </si>
  <si>
    <t>ケアマネ</t>
  </si>
  <si>
    <t>３F-1</t>
  </si>
  <si>
    <t>ノートパソコン</t>
  </si>
  <si>
    <t>看護１</t>
  </si>
  <si>
    <t>看護２</t>
  </si>
  <si>
    <t>機能訓練１</t>
  </si>
  <si>
    <t>スマートフォン</t>
  </si>
  <si>
    <t>健康管理室１</t>
  </si>
  <si>
    <t>健康管理室２</t>
  </si>
  <si>
    <t>アンドロイドタブレット</t>
  </si>
  <si>
    <t xml:space="preserve">　</t>
  </si>
  <si>
    <t>狩野厚子</t>
  </si>
  <si>
    <t>レ　車椅子</t>
  </si>
  <si>
    <t>リクライニング式車椅子</t>
  </si>
  <si>
    <t xml:space="preserve">  </t>
  </si>
  <si>
    <t>極キザミ</t>
  </si>
  <si>
    <t>レ　歩行器</t>
  </si>
  <si>
    <t>S14/02/11</t>
  </si>
  <si>
    <t>S20/06/25</t>
  </si>
  <si>
    <t>梅内Dr.　静岡ホーム</t>
  </si>
  <si>
    <t>要介護１：１３</t>
  </si>
  <si>
    <t>要介護３：９</t>
  </si>
  <si>
    <t>S7/05/11</t>
  </si>
  <si>
    <t>ミキサー</t>
  </si>
  <si>
    <t>S2/02/16</t>
  </si>
  <si>
    <t>東静岡</t>
  </si>
  <si>
    <t>施　車椅子, 施　歩行器</t>
  </si>
  <si>
    <t>沼本英雄</t>
  </si>
  <si>
    <t>S11/8/15</t>
  </si>
  <si>
    <t>S11/12/06</t>
  </si>
  <si>
    <t>手すり</t>
  </si>
  <si>
    <t>S04/03/22</t>
  </si>
  <si>
    <t>要介護２：１５</t>
  </si>
  <si>
    <t>要介護４：８</t>
  </si>
  <si>
    <t>S16/1/10</t>
  </si>
  <si>
    <t>矢和田禎士</t>
  </si>
  <si>
    <t>S11/08/11</t>
  </si>
  <si>
    <t>古谷Dr.　静岡ホーム, 内田Dr.　静岡ホーム</t>
  </si>
  <si>
    <t>購　車椅子</t>
  </si>
  <si>
    <t>原　洋子</t>
  </si>
  <si>
    <t>S5/11/11</t>
  </si>
  <si>
    <t>入居者数</t>
  </si>
  <si>
    <t>合計介護度</t>
  </si>
  <si>
    <t>合計年齢</t>
  </si>
  <si>
    <t>平均介護度</t>
  </si>
  <si>
    <t>平均年齢</t>
  </si>
  <si>
    <t>とやまクリニック</t>
  </si>
  <si>
    <t>平野医院</t>
  </si>
  <si>
    <t>城西クリニック</t>
  </si>
  <si>
    <t>上限19</t>
  </si>
  <si>
    <t>静岡ホームクリニック</t>
  </si>
  <si>
    <t>東静岡クリニック</t>
  </si>
  <si>
    <t>計</t>
  </si>
  <si>
    <t>篠宮芳子</t>
  </si>
  <si>
    <t>S8/03/27</t>
  </si>
  <si>
    <t>小林ひさ</t>
  </si>
  <si>
    <t>安部Dr.　とやま</t>
  </si>
  <si>
    <t>逝去</t>
  </si>
  <si>
    <t>青嶋すみ</t>
  </si>
  <si>
    <t>入院</t>
  </si>
  <si>
    <t>鈴木耕一</t>
  </si>
  <si>
    <t>望月秀夫</t>
  </si>
  <si>
    <t>市川澄子</t>
  </si>
  <si>
    <t>福田節子</t>
  </si>
  <si>
    <t>S9/08/27</t>
  </si>
  <si>
    <t>上仲基之</t>
  </si>
  <si>
    <t>サ高住</t>
  </si>
  <si>
    <t>稲葉Dr.　城西</t>
  </si>
  <si>
    <t>斎藤治夫</t>
  </si>
  <si>
    <t>天野とし子</t>
  </si>
  <si>
    <t>藤原文明</t>
  </si>
  <si>
    <t>S2/11/27</t>
  </si>
  <si>
    <t>西村三津代</t>
  </si>
  <si>
    <t>外山Dr.　とやま</t>
  </si>
  <si>
    <t>青柳友春</t>
  </si>
  <si>
    <t>石井令三</t>
  </si>
  <si>
    <t>安藤幸一</t>
  </si>
  <si>
    <t>大村和弘</t>
  </si>
  <si>
    <t>犬塚まつゑ</t>
  </si>
  <si>
    <t>永井登志惠</t>
  </si>
  <si>
    <t>GH</t>
  </si>
  <si>
    <t>S05/3/2</t>
  </si>
  <si>
    <t>川口良一</t>
  </si>
  <si>
    <t>鈴木勢津子</t>
  </si>
  <si>
    <t>S8/04/18</t>
  </si>
  <si>
    <t>岡田芳子</t>
  </si>
  <si>
    <t>S6/11/01</t>
  </si>
  <si>
    <t>渡邉寛子</t>
  </si>
  <si>
    <t>鈴木かな子</t>
  </si>
  <si>
    <t>S08/10/17</t>
  </si>
  <si>
    <t>鈴木千枝</t>
  </si>
  <si>
    <t>7/14ご逝去</t>
  </si>
  <si>
    <t>服部　豊</t>
  </si>
  <si>
    <t>望月ぬひ子</t>
  </si>
  <si>
    <t>S16/08/10</t>
  </si>
  <si>
    <t>在宅</t>
  </si>
  <si>
    <t>青島すみ</t>
  </si>
  <si>
    <t>S15/02/21</t>
  </si>
  <si>
    <t>中村政子</t>
  </si>
  <si>
    <t>S5/09/21</t>
  </si>
  <si>
    <t>特養</t>
  </si>
  <si>
    <t>GHへ</t>
  </si>
  <si>
    <t>ＧＨ</t>
  </si>
  <si>
    <t>S06/12/08</t>
  </si>
  <si>
    <t>小澤　よし子</t>
  </si>
  <si>
    <t>釜田　喜代子</t>
  </si>
  <si>
    <t>山本　君江</t>
  </si>
  <si>
    <t>仲田　幸子</t>
  </si>
  <si>
    <t>前田　みさ枝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</si>
</sst>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¥&quot;#,##0"/>
    <numFmt numFmtId="165" formatCode="yyyy/MM/dd"/>
    <numFmt numFmtId="166" formatCode="yyyy/mm/dd"/>
    <numFmt numFmtId="167" formatCode="yyyy/m/d"/>
    <numFmt numFmtId="168" formatCode="m/d"/>
  </numFmts>
  <fonts count="19">
    <font>
      <sz val="10.0"/>
      <color rgb="FF000000"/>
      <name val="Arial"/>
      <scheme val="minor"/>
    </font>
    <font>
      <sz val="11.0"/>
      <color rgb="FF000000"/>
      <name val="HGSSoeiKakugothicUB"/>
    </font>
    <font>
      <sz val="18.0"/>
      <color rgb="FF000000"/>
      <name val="HGSSoeiKakugothicUB"/>
    </font>
    <font>
      <sz val="8.0"/>
      <color rgb="FF000000"/>
      <name val="HGSSoeiKakugothicUB"/>
    </font>
    <font/>
    <font>
      <sz val="9.0"/>
      <color rgb="FF000000"/>
      <name val="HGSSoeiKakugothicUB"/>
    </font>
    <font>
      <sz val="16.0"/>
      <color rgb="FF000000"/>
      <name val="HGSSoeiKakugothicUB"/>
    </font>
    <font>
      <color rgb="FF000000"/>
      <name val="HGSSoeiKakugothicUB"/>
    </font>
    <font>
      <b/>
      <sz val="16.0"/>
      <color rgb="FFFF0000"/>
      <name val="HGSSoeiKakugothicUB"/>
    </font>
    <font>
      <sz val="6.0"/>
      <color rgb="FF000000"/>
      <name val="HGSSoeiKakugothicUB"/>
    </font>
    <font>
      <b/>
      <sz val="12.0"/>
      <color rgb="FFFF0000"/>
      <name val="HGSSoeiKakugothicUB"/>
    </font>
    <font>
      <b/>
      <sz val="8.0"/>
      <color rgb="FF808080"/>
      <name val="HGSSoeiKakugothicUB"/>
    </font>
    <font>
      <b/>
      <sz val="11.0"/>
      <color rgb="FF000000"/>
      <name val="HGSSoeiKakugothicUB"/>
    </font>
    <font>
      <sz val="11.0"/>
      <color theme="1"/>
      <name val="Arial"/>
      <scheme val="minor"/>
    </font>
    <font>
      <color theme="1"/>
      <name val="Arial"/>
      <scheme val="minor"/>
    </font>
    <font>
      <sz val="9.0"/>
      <color theme="1"/>
      <name val="HGSSoeiKakugothicUB"/>
    </font>
    <font>
      <color theme="1"/>
      <name val="HGSSoeiKakugothicUB"/>
    </font>
    <font>
      <b/>
      <sz val="12.0"/>
      <color theme="1"/>
      <name val="Arial"/>
      <scheme val="minor"/>
    </font>
    <font>
      <sz val="8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rgb="FFC6E0B4"/>
        <bgColor rgb="FFC6E0B4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1" fillId="0" fontId="4" numFmtId="0" xfId="0" applyBorder="1" applyFont="1"/>
    <xf borderId="3" fillId="0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5" fillId="0" fontId="8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right" readingOrder="0" shrinkToFit="0" wrapText="0"/>
    </xf>
    <xf borderId="6" fillId="0" fontId="8" numFmtId="0" xfId="0" applyAlignment="1" applyBorder="1" applyFont="1">
      <alignment horizontal="center" shrinkToFit="0" wrapText="0"/>
    </xf>
    <xf borderId="7" fillId="0" fontId="4" numFmtId="0" xfId="0" applyBorder="1" applyFont="1"/>
    <xf borderId="2" fillId="0" fontId="8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right" shrinkToFit="0" wrapText="0"/>
    </xf>
    <xf borderId="3" fillId="0" fontId="8" numFmtId="0" xfId="0" applyAlignment="1" applyBorder="1" applyFont="1">
      <alignment horizontal="center" shrinkToFit="0" wrapText="0"/>
    </xf>
    <xf borderId="8" fillId="0" fontId="1" numFmtId="0" xfId="0" applyAlignment="1" applyBorder="1" applyFont="1">
      <alignment horizontal="center" shrinkToFit="0" wrapText="0"/>
    </xf>
    <xf borderId="6" fillId="0" fontId="8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9" fillId="0" fontId="5" numFmtId="0" xfId="0" applyAlignment="1" applyBorder="1" applyFont="1">
      <alignment horizontal="center" readingOrder="0" shrinkToFit="0" wrapText="0"/>
    </xf>
    <xf borderId="10" fillId="0" fontId="4" numFmtId="0" xfId="0" applyBorder="1" applyFont="1"/>
    <xf borderId="0" fillId="2" fontId="9" numFmtId="0" xfId="0" applyAlignment="1" applyFill="1" applyFont="1">
      <alignment horizontal="center" readingOrder="0"/>
    </xf>
    <xf borderId="6" fillId="0" fontId="1" numFmtId="164" xfId="0" applyAlignment="1" applyBorder="1" applyFont="1" applyNumberFormat="1">
      <alignment horizontal="center" readingOrder="0" shrinkToFit="0" wrapText="0"/>
    </xf>
    <xf borderId="11" fillId="2" fontId="9" numFmtId="0" xfId="0" applyAlignment="1" applyBorder="1" applyFill="1" applyFont="1">
      <alignment horizontal="center"/>
    </xf>
    <xf borderId="1" fillId="3" fontId="10" numFmtId="0" xfId="0" applyAlignment="1" applyBorder="1" applyFill="1" applyFont="1">
      <alignment horizontal="center" shrinkToFit="0" wrapText="0"/>
    </xf>
    <xf borderId="11" fillId="2" fontId="9" numFmtId="0" xfId="0" applyAlignment="1" applyBorder="1" applyFill="1" applyFont="1">
      <alignment horizontal="center" readingOrder="0"/>
    </xf>
    <xf borderId="7" fillId="3" fontId="11" numFmtId="0" xfId="0" applyAlignment="1" applyBorder="1" applyFill="1" applyFont="1">
      <alignment horizontal="center" shrinkToFit="0" wrapText="0"/>
    </xf>
    <xf borderId="11" fillId="2" fontId="9" numFmtId="0" xfId="0" applyAlignment="1" applyBorder="1" applyFill="1" applyFont="1">
      <alignment horizontal="center" readingOrder="0" vertical="bottom"/>
    </xf>
    <xf borderId="7" fillId="4" fontId="12" numFmtId="164" xfId="0" applyAlignment="1" applyBorder="1" applyFill="1" applyFont="1" applyNumberFormat="1">
      <alignment horizontal="center" readingOrder="0" shrinkToFit="0" wrapText="0"/>
    </xf>
    <xf borderId="0" fillId="0" fontId="13" numFmtId="0" xfId="0" applyAlignment="1" applyFont="1">
      <alignment horizontal="center" readingOrder="0" shrinkToFit="0" vertical="center" wrapText="0"/>
    </xf>
    <xf borderId="7" fillId="3" fontId="12" numFmtId="164" xfId="0" applyAlignment="1" applyBorder="1" applyFill="1" applyFont="1" applyNumberFormat="1">
      <alignment horizontal="center" readingOrder="0" shrinkToFit="0" wrapText="0"/>
    </xf>
    <xf borderId="8" fillId="5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3" fontId="9" numFmtId="0" xfId="0" applyAlignment="1" applyFill="1" applyFont="1">
      <alignment horizontal="center" readingOrder="0"/>
    </xf>
    <xf borderId="0" fillId="0" fontId="14" numFmtId="0" xfId="0" applyAlignment="1" applyFont="1">
      <alignment horizontal="left" readingOrder="0" shrinkToFit="0" vertical="center" wrapText="0"/>
    </xf>
    <xf borderId="5" fillId="0" fontId="5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horizontal="center" readingOrder="0" shrinkToFit="0" wrapText="0"/>
    </xf>
    <xf borderId="12" fillId="3" fontId="7" numFmtId="0" xfId="0" applyAlignment="1" applyBorder="1" applyFill="1" applyFont="1">
      <alignment horizontal="center" shrinkToFit="0" wrapText="0"/>
    </xf>
    <xf borderId="0" fillId="0" fontId="1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horizontal="center" shrinkToFit="0" wrapText="0"/>
    </xf>
    <xf borderId="0" fillId="0" fontId="14" numFmtId="0" xfId="0" applyAlignment="1" applyFont="1">
      <alignment horizontal="center" readingOrder="0" shrinkToFit="0" vertical="center" wrapText="0"/>
    </xf>
    <xf borderId="12" fillId="3" fontId="7" numFmtId="0" xfId="0" applyAlignment="1" applyBorder="1" applyFill="1" applyFont="1">
      <alignment horizontal="center" readingOrder="0" shrinkToFit="0" wrapText="0"/>
    </xf>
    <xf borderId="0" fillId="6" fontId="14" numFmtId="0" xfId="0" applyAlignment="1" applyFill="1" applyFont="1">
      <alignment readingOrder="0" shrinkToFit="0" vertical="center" wrapText="0"/>
    </xf>
    <xf borderId="12" fillId="3" fontId="5" numFmtId="0" xfId="0" applyAlignment="1" applyBorder="1" applyFill="1" applyFont="1">
      <alignment horizontal="center" readingOrder="0" shrinkToFit="0" wrapText="0"/>
    </xf>
    <xf borderId="5" fillId="0" fontId="8" numFmtId="0" xfId="0" applyAlignment="1" applyBorder="1" applyFont="1">
      <alignment horizontal="center" readingOrder="0" shrinkToFit="0" wrapText="0"/>
    </xf>
    <xf borderId="0" fillId="0" fontId="14" numFmtId="165" xfId="0" applyAlignment="1" applyFont="1" applyNumberFormat="1">
      <alignment readingOrder="0" shrinkToFit="0" vertical="center" wrapText="0"/>
    </xf>
    <xf borderId="13" fillId="0" fontId="4" numFmtId="0" xfId="0" applyBorder="1" applyFont="1"/>
    <xf borderId="0" fillId="0" fontId="14" numFmtId="0" xfId="0" applyAlignment="1" applyFont="1">
      <alignment readingOrder="0" shrinkToFit="0" vertical="center" wrapText="0"/>
    </xf>
    <xf borderId="5" fillId="0" fontId="4" numFmtId="0" xfId="0" applyBorder="1" applyFont="1"/>
    <xf borderId="0" fillId="0" fontId="14" numFmtId="0" xfId="0" applyAlignment="1" applyFont="1">
      <alignment readingOrder="0" shrinkToFit="0" vertical="center" wrapText="0"/>
    </xf>
    <xf borderId="5" fillId="0" fontId="15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shrinkToFit="0" wrapText="0"/>
    </xf>
    <xf borderId="11" fillId="0" fontId="9" numFmtId="0" xfId="0" applyAlignment="1" applyBorder="1" applyFont="1">
      <alignment horizontal="center" readingOrder="0"/>
    </xf>
    <xf borderId="7" fillId="0" fontId="16" numFmtId="0" xfId="0" applyAlignment="1" applyBorder="1" applyFont="1">
      <alignment horizontal="center" readingOrder="0" shrinkToFit="0" wrapText="0"/>
    </xf>
    <xf borderId="11" fillId="0" fontId="9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vertical="center" wrapText="0"/>
    </xf>
    <xf borderId="11" fillId="0" fontId="9" numFmtId="0" xfId="0" applyAlignment="1" applyBorder="1" applyFont="1">
      <alignment horizontal="center" shrinkToFit="0" wrapText="0"/>
    </xf>
    <xf borderId="6" fillId="3" fontId="12" numFmtId="164" xfId="0" applyAlignment="1" applyBorder="1" applyFill="1" applyFont="1" applyNumberFormat="1">
      <alignment horizontal="center" readingOrder="0" shrinkToFit="0" wrapText="0"/>
    </xf>
    <xf borderId="0" fillId="0" fontId="14" numFmtId="49" xfId="0" applyAlignment="1" applyFont="1" applyNumberFormat="1">
      <alignment horizontal="left" readingOrder="0" shrinkToFit="0" vertical="center" wrapText="0"/>
    </xf>
    <xf borderId="8" fillId="0" fontId="3" numFmtId="0" xfId="0" applyAlignment="1" applyBorder="1" applyFont="1">
      <alignment horizontal="center" shrinkToFit="0" wrapText="0"/>
    </xf>
    <xf borderId="7" fillId="3" fontId="12" numFmtId="0" xfId="0" applyAlignment="1" applyBorder="1" applyFill="1" applyFont="1">
      <alignment horizontal="center" shrinkToFit="0" wrapText="0"/>
    </xf>
    <xf borderId="6" fillId="0" fontId="3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readingOrder="0"/>
    </xf>
    <xf borderId="0" fillId="7" fontId="17" numFmtId="0" xfId="0" applyAlignment="1" applyFill="1" applyFont="1">
      <alignment readingOrder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66" xfId="0" applyAlignment="1" applyFont="1" applyNumberFormat="1">
      <alignment readingOrder="0" shrinkToFit="0" vertical="center" wrapText="0"/>
    </xf>
    <xf borderId="1" fillId="4" fontId="10" numFmtId="0" xfId="0" applyAlignment="1" applyBorder="1" applyFill="1" applyFont="1">
      <alignment horizontal="center" shrinkToFit="0" wrapText="0"/>
    </xf>
    <xf borderId="7" fillId="4" fontId="11" numFmtId="0" xfId="0" applyAlignment="1" applyBorder="1" applyFill="1" applyFont="1">
      <alignment horizontal="center" shrinkToFit="0" wrapText="0"/>
    </xf>
    <xf borderId="6" fillId="4" fontId="12" numFmtId="164" xfId="0" applyAlignment="1" applyBorder="1" applyFill="1" applyFont="1" applyNumberFormat="1">
      <alignment horizontal="center" readingOrder="0" shrinkToFit="0" wrapText="0"/>
    </xf>
    <xf borderId="5" fillId="0" fontId="7" numFmtId="0" xfId="0" applyAlignment="1" applyBorder="1" applyFont="1">
      <alignment horizontal="center" shrinkToFit="0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wrapText="0"/>
    </xf>
    <xf borderId="11" fillId="0" fontId="5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/>
    </xf>
    <xf borderId="7" fillId="0" fontId="8" numFmtId="0" xfId="0" applyAlignment="1" applyBorder="1" applyFont="1">
      <alignment horizontal="center" shrinkToFit="0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1" fillId="0" fontId="18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shrinkToFit="0" wrapText="0"/>
    </xf>
    <xf borderId="5" fillId="0" fontId="5" numFmtId="0" xfId="0" applyAlignment="1" applyBorder="1" applyFont="1">
      <alignment horizontal="center" shrinkToFit="0" wrapText="0"/>
    </xf>
    <xf borderId="0" fillId="0" fontId="14" numFmtId="0" xfId="0" applyFont="1"/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14" fillId="0" fontId="14" numFmtId="0" xfId="0" applyAlignment="1" applyBorder="1" applyFont="1">
      <alignment readingOrder="0"/>
    </xf>
    <xf borderId="0" fillId="8" fontId="14" numFmtId="0" xfId="0" applyAlignment="1" applyFill="1" applyFont="1">
      <alignment readingOrder="0"/>
    </xf>
    <xf borderId="0" fillId="9" fontId="14" numFmtId="0" xfId="0" applyAlignment="1" applyFill="1" applyFont="1">
      <alignment readingOrder="0"/>
    </xf>
    <xf borderId="0" fillId="10" fontId="14" numFmtId="0" xfId="0" applyAlignment="1" applyFill="1" applyFont="1">
      <alignment readingOrder="0"/>
    </xf>
    <xf borderId="0" fillId="11" fontId="14" numFmtId="0" xfId="0" applyAlignment="1" applyFill="1" applyFont="1">
      <alignment readingOrder="0"/>
    </xf>
    <xf borderId="0" fillId="12" fontId="14" numFmtId="0" xfId="0" applyAlignment="1" applyFill="1" applyFont="1">
      <alignment readingOrder="0"/>
    </xf>
    <xf borderId="0" fillId="13" fontId="14" numFmtId="0" xfId="0" applyAlignment="1" applyFill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167" xfId="0" applyAlignment="1" applyFont="1" applyNumberFormat="1">
      <alignment readingOrder="0" shrinkToFit="0" vertical="center" wrapText="0"/>
    </xf>
    <xf borderId="0" fillId="14" fontId="14" numFmtId="0" xfId="0" applyAlignment="1" applyFill="1" applyFont="1">
      <alignment readingOrder="0"/>
    </xf>
    <xf borderId="0" fillId="0" fontId="14" numFmtId="0" xfId="0" applyFont="1"/>
    <xf borderId="0" fillId="8" fontId="14" numFmtId="0" xfId="0" applyFill="1" applyFont="1"/>
    <xf borderId="0" fillId="9" fontId="14" numFmtId="0" xfId="0" applyFill="1" applyFont="1"/>
    <xf borderId="0" fillId="10" fontId="14" numFmtId="0" xfId="0" applyFill="1" applyFont="1"/>
    <xf borderId="0" fillId="11" fontId="14" numFmtId="0" xfId="0" applyFill="1" applyFont="1"/>
    <xf borderId="0" fillId="0" fontId="14" numFmtId="0" xfId="0" applyAlignment="1" applyFont="1">
      <alignment horizontal="center" readingOrder="0"/>
    </xf>
    <xf borderId="0" fillId="12" fontId="14" numFmtId="0" xfId="0" applyFill="1" applyFont="1"/>
    <xf borderId="0" fillId="0" fontId="14" numFmtId="0" xfId="0" applyAlignment="1" applyFont="1">
      <alignment horizontal="center" readingOrder="0"/>
    </xf>
    <xf borderId="0" fillId="0" fontId="14" numFmtId="165" xfId="0" applyAlignment="1" applyFont="1" applyNumberForma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shrinkToFit="0" vertical="center" wrapText="0"/>
    </xf>
    <xf borderId="14" fillId="0" fontId="14" numFmtId="0" xfId="0" applyAlignment="1" applyBorder="1" applyFont="1">
      <alignment horizontal="center" readingOrder="0" shrinkToFit="0" vertical="center" wrapText="0"/>
    </xf>
    <xf borderId="14" fillId="0" fontId="14" numFmtId="0" xfId="0" applyAlignment="1" applyBorder="1" applyFont="1">
      <alignment readingOrder="0" shrinkToFit="0" vertical="center" wrapText="0"/>
    </xf>
    <xf borderId="14" fillId="0" fontId="14" numFmtId="165" xfId="0" applyAlignment="1" applyBorder="1" applyFont="1" applyNumberFormat="1">
      <alignment readingOrder="0" shrinkToFit="0" vertical="center" wrapText="0"/>
    </xf>
    <xf borderId="14" fillId="0" fontId="14" numFmtId="0" xfId="0" applyAlignment="1" applyBorder="1" applyFont="1">
      <alignment readingOrder="0" shrinkToFit="0" vertical="center" wrapText="0"/>
    </xf>
    <xf borderId="14" fillId="0" fontId="14" numFmtId="0" xfId="0" applyAlignment="1" applyBorder="1" applyFont="1">
      <alignment horizontal="center" readingOrder="0" shrinkToFit="0" vertical="center" wrapText="0"/>
    </xf>
    <xf borderId="14" fillId="0" fontId="14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horizontal="left"/>
    </xf>
    <xf borderId="6" fillId="0" fontId="14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/>
    </xf>
    <xf borderId="14" fillId="0" fontId="14" numFmtId="167" xfId="0" applyAlignment="1" applyBorder="1" applyFont="1" applyNumberFormat="1">
      <alignment readingOrder="0"/>
    </xf>
    <xf borderId="6" fillId="0" fontId="14" numFmtId="0" xfId="0" applyAlignment="1" applyBorder="1" applyFont="1">
      <alignment horizontal="right" readingOrder="0"/>
    </xf>
    <xf borderId="14" fillId="0" fontId="14" numFmtId="0" xfId="0" applyAlignment="1" applyBorder="1" applyFont="1">
      <alignment horizontal="center" readingOrder="0"/>
    </xf>
    <xf borderId="6" fillId="0" fontId="14" numFmtId="0" xfId="0" applyBorder="1" applyFont="1"/>
    <xf borderId="0" fillId="0" fontId="14" numFmtId="168" xfId="0" applyAlignment="1" applyFont="1" applyNumberFormat="1">
      <alignment readingOrder="0"/>
    </xf>
    <xf borderId="14" fillId="0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14" numFmtId="168" xfId="0" applyAlignment="1" applyFont="1" applyNumberFormat="1">
      <alignment readingOrder="0"/>
    </xf>
    <xf borderId="0" fillId="0" fontId="14" numFmtId="166" xfId="0" applyAlignment="1" applyFont="1" applyNumberForma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167" xfId="0" applyAlignment="1" applyFont="1" applyNumberFormat="1">
      <alignment readingOrder="0"/>
    </xf>
    <xf borderId="0" fillId="0" fontId="14" numFmtId="167" xfId="0" applyAlignment="1" applyFont="1" applyNumberFormat="1">
      <alignment readingOrder="0"/>
    </xf>
    <xf borderId="0" fillId="12" fontId="14" numFmtId="0" xfId="0" applyAlignment="1" applyFill="1" applyFont="1">
      <alignment readingOrder="0"/>
    </xf>
    <xf borderId="0" fillId="9" fontId="14" numFmtId="0" xfId="0" applyAlignment="1" applyFill="1" applyFont="1">
      <alignment readingOrder="0"/>
    </xf>
    <xf borderId="14" fillId="0" fontId="14" numFmtId="0" xfId="0" applyAlignment="1" applyBorder="1" applyFont="1">
      <alignment readingOrder="0"/>
    </xf>
    <xf borderId="0" fillId="8" fontId="14" numFmtId="0" xfId="0" applyAlignment="1" applyFill="1" applyFont="1">
      <alignment readingOrder="0"/>
    </xf>
    <xf borderId="0" fillId="10" fontId="14" numFmtId="0" xfId="0" applyAlignment="1" applyFill="1" applyFont="1">
      <alignment readingOrder="0"/>
    </xf>
    <xf borderId="0" fillId="8" fontId="14" numFmtId="0" xfId="0" applyAlignment="1" applyFill="1" applyFont="1">
      <alignment readingOrder="0"/>
    </xf>
    <xf borderId="0" fillId="15" fontId="14" numFmtId="0" xfId="0" applyAlignment="1" applyFill="1" applyFont="1">
      <alignment horizontal="center" readingOrder="0"/>
    </xf>
    <xf borderId="0" fillId="15" fontId="14" numFmtId="0" xfId="0" applyAlignment="1" applyFill="1" applyFont="1">
      <alignment readingOrder="0"/>
    </xf>
    <xf borderId="0" fillId="15" fontId="14" numFmtId="166" xfId="0" applyAlignment="1" applyFill="1" applyFont="1" applyNumberFormat="1">
      <alignment readingOrder="0"/>
    </xf>
    <xf borderId="0" fillId="15" fontId="14" numFmtId="0" xfId="0" applyAlignment="1" applyFill="1" applyFont="1">
      <alignment horizontal="center" readingOrder="0"/>
    </xf>
    <xf borderId="0" fillId="15" fontId="14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16" fontId="14" numFmtId="0" xfId="0" applyAlignment="1" applyFill="1" applyFont="1">
      <alignment horizontal="center" readingOrder="0"/>
    </xf>
    <xf borderId="0" fillId="16" fontId="14" numFmtId="0" xfId="0" applyAlignment="1" applyFill="1" applyFont="1">
      <alignment readingOrder="0"/>
    </xf>
    <xf borderId="0" fillId="16" fontId="14" numFmtId="165" xfId="0" applyAlignment="1" applyFill="1" applyFont="1" applyNumberFormat="1">
      <alignment readingOrder="0"/>
    </xf>
    <xf borderId="0" fillId="16" fontId="14" numFmtId="0" xfId="0" applyAlignment="1" applyFill="1" applyFont="1">
      <alignment horizontal="center" readingOrder="0"/>
    </xf>
    <xf borderId="0" fillId="16" fontId="14" numFmtId="0" xfId="0" applyAlignment="1" applyFill="1" applyFont="1">
      <alignment readingOrder="0"/>
    </xf>
    <xf borderId="0" fillId="16" fontId="14" numFmtId="0" xfId="0" applyAlignment="1" applyFill="1" applyFont="1">
      <alignment readingOrder="0"/>
    </xf>
    <xf borderId="0" fillId="15" fontId="14" numFmtId="167" xfId="0" applyAlignment="1" applyFill="1" applyFont="1" applyNumberFormat="1">
      <alignment readingOrder="0"/>
    </xf>
    <xf borderId="0" fillId="16" fontId="14" numFmtId="0" xfId="0" applyAlignment="1" applyFill="1" applyFont="1">
      <alignment readingOrder="0"/>
    </xf>
    <xf borderId="0" fillId="17" fontId="14" numFmtId="0" xfId="0" applyAlignment="1" applyFill="1" applyFont="1">
      <alignment readingOrder="0"/>
    </xf>
    <xf borderId="0" fillId="0" fontId="14" numFmtId="165" xfId="0" applyAlignment="1" applyFont="1" applyNumberFormat="1">
      <alignment readingOrder="0"/>
    </xf>
    <xf borderId="0" fillId="0" fontId="14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5" pivot="0" name="入居者管理表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シート8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入居者管理表-style 2">
      <tableStyleElement dxfId="3" type="firstRowStripe"/>
      <tableStyleElement dxfId="2" type="secondRowStripe"/>
    </tableStyle>
    <tableStyle count="2" pivot="0" name="入居者管理表-style 3">
      <tableStyleElement dxfId="3" type="firstRowStripe"/>
      <tableStyleElement dxfId="2" type="secondRowStripe"/>
    </tableStyle>
    <tableStyle count="2" pivot="0" name="入居者管理表-style 4">
      <tableStyleElement dxfId="3" type="firstRowStripe"/>
      <tableStyleElement dxfId="2" type="secondRowStripe"/>
    </tableStyle>
    <tableStyle count="2" pivot="0" name="入居者管理表-style 5">
      <tableStyleElement dxfId="2" type="firstRowStripe"/>
      <tableStyleElement dxfId="3" type="secondRowStripe"/>
    </tableStyle>
    <tableStyle count="2" pivot="0" name="入居者管理表-style 6">
      <tableStyleElement dxfId="2" type="firstRowStripe"/>
      <tableStyleElement dxfId="3" type="secondRowStripe"/>
    </tableStyle>
    <tableStyle count="2" pivot="0" name="シート5-style">
      <tableStyleElement dxfId="2" type="firstRowStripe"/>
      <tableStyleElement dxfId="3" type="secondRowStripe"/>
    </tableStyle>
    <tableStyle count="5" pivot="0" name="シート1 のコピー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シート1 のコピー-style 2">
      <tableStyleElement dxfId="3" type="firstRowStripe"/>
      <tableStyleElement dxfId="2" type="secondRowStripe"/>
    </tableStyle>
    <tableStyle count="2" pivot="0" name="シート1 のコピー-style 3">
      <tableStyleElement dxfId="3" type="firstRowStripe"/>
      <tableStyleElement dxfId="2" type="secondRowStripe"/>
    </tableStyle>
    <tableStyle count="2" pivot="0" name="シート1 のコピー-style 4">
      <tableStyleElement dxfId="3" type="firstRowStripe"/>
      <tableStyleElement dxfId="2" type="secondRowStripe"/>
    </tableStyle>
    <tableStyle count="2" pivot="0" name="シート3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N52" displayName="表_1" name="表_1" id="1">
  <tableColumns count="14">
    <tableColumn totalsRowLabel="入居者数" name="部屋番号" id="1"/>
    <tableColumn totalsRowFunction="custom" name="名前" id="2"/>
    <tableColumn totalsRowLabel="合計介護度" name="入居日" id="3"/>
    <tableColumn totalsRowFunction="custom" name="介護度" id="4"/>
    <tableColumn totalsRowLabel="合計年齢" name="誕生日" id="5"/>
    <tableColumn totalsRowFunction="custom" name="年齢" id="6"/>
    <tableColumn name="訪問医" id="7"/>
    <tableColumn name="口腔衛生" id="8"/>
    <tableColumn name="福祉用具" id="9"/>
    <tableColumn name="ごはん" id="10"/>
    <tableColumn name="おかず" id="11"/>
    <tableColumn name="とろみ" id="12"/>
    <tableColumn name="エアコン" id="13"/>
    <tableColumn name="早出し" id="14"/>
  </tableColumns>
  <tableStyleInfo name="入居者管理表-style" showColumnStripes="0" showFirstColumn="1" showLastColumn="1" showRowStripes="1"/>
</table>
</file>

<file path=xl/tables/table2.xml><?xml version="1.0" encoding="utf-8"?>
<table xmlns="http://schemas.openxmlformats.org/spreadsheetml/2006/main" headerRowCount="0" ref="O2:X9" displayName="Table_1" name="Table_1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入居者管理表-style 2" showColumnStripes="0" showFirstColumn="1" showLastColumn="1" showRowStripes="1"/>
</table>
</file>

<file path=xl/tables/table3.xml><?xml version="1.0" encoding="utf-8"?>
<table xmlns="http://schemas.openxmlformats.org/spreadsheetml/2006/main" headerRowCount="0" ref="O15:Q52" displayName="Table_2" name="Table_2" id="4">
  <tableColumns count="3">
    <tableColumn name="Column1" id="1"/>
    <tableColumn name="Column2" id="2"/>
    <tableColumn name="Column3" id="3"/>
  </tableColumns>
  <tableStyleInfo name="入居者管理表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4:P86" displayName="Table_3" name="Table_3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入居者管理表-style 4" showColumnStripes="0" showFirstColumn="1" showLastColumn="1" showRowStripes="1"/>
</table>
</file>

<file path=xl/tables/table5.xml><?xml version="1.0" encoding="utf-8"?>
<table xmlns="http://schemas.openxmlformats.org/spreadsheetml/2006/main" headerRowCount="0" ref="A92:J102" displayName="Table_4" name="Table_4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入居者管理表-style 5" showColumnStripes="0" showFirstColumn="1" showLastColumn="1" showRowStripes="1"/>
</table>
</file>

<file path=xl/tables/table6.xml><?xml version="1.0" encoding="utf-8"?>
<table xmlns="http://schemas.openxmlformats.org/spreadsheetml/2006/main" headerRowCount="0" ref="N92:N99" displayName="Table_5" name="Table_5" id="7">
  <tableColumns count="1">
    <tableColumn name="Column1" id="1"/>
  </tableColumns>
  <tableStyleInfo name="入居者管理表-style 6" showColumnStripes="0" showFirstColumn="1" showLastColumn="1" showRowStripes="1"/>
</table>
</file>

<file path=xl/tables/table7.xml><?xml version="1.0" encoding="utf-8"?>
<table xmlns="http://schemas.openxmlformats.org/spreadsheetml/2006/main" ref="A1:F51" displayName="表_2" name="表_2" id="2">
  <tableColumns count="6">
    <tableColumn name="部屋番号" id="1"/>
    <tableColumn name="名前" id="2"/>
    <tableColumn name="入居日" id="3"/>
    <tableColumn name="介護度" id="4"/>
    <tableColumn name="誕生日" id="5"/>
    <tableColumn name="年齢" id="6"/>
  </tableColumns>
  <tableStyleInfo name="シート8-style" showColumnStripes="0" showFirstColumn="1" showLastColumn="1" showRowStripes="1"/>
</table>
</file>

<file path=xl/tables/table8.xml><?xml version="1.0" encoding="utf-8"?>
<table xmlns="http://schemas.openxmlformats.org/spreadsheetml/2006/main" headerRowCount="0" ref="A1:A50" displayName="Table_6" name="Table_6" id="8">
  <tableColumns count="1">
    <tableColumn name="Column1" id="1"/>
  </tableColumns>
  <tableStyleInfo name="シート5-style" showColumnStripes="0" showFirstColumn="1" showLastColumn="1" showRowStripes="1"/>
</table>
</file>

<file path=xl/tables/table9.xml><?xml version="1.0" encoding="utf-8"?>
<table xmlns="http://schemas.openxmlformats.org/spreadsheetml/2006/main" totalsRowCount="1" ref="A1:J52" displayName="表" name="表" id="9">
  <tableColumns count="10">
    <tableColumn totalsRowLabel="入居者数" name="部屋番号" id="1"/>
    <tableColumn totalsRowFunction="custom" name="名前" id="2"/>
    <tableColumn totalsRowLabel="合計介護度" name="入居日" id="3"/>
    <tableColumn totalsRowFunction="custom" name="介護度" id="4"/>
    <tableColumn totalsRowLabel="合計年齢" name="誕生日" id="5"/>
    <tableColumn totalsRowFunction="custom" name="年齢" id="6"/>
    <tableColumn name="訪問医" id="7"/>
    <tableColumn name="レンタル" id="8"/>
    <tableColumn name="写真" id="9"/>
    <tableColumn name="Column 10" id="10"/>
  </tableColumns>
  <tableStyleInfo name="シート1 のコピー-style" showColumnStripes="0" showFirstColumn="1" showLastColumn="1" showRowStripes="1"/>
</table>
</file>

<file path=xl/tables/table10.xml><?xml version="1.0" encoding="utf-8"?>
<table xmlns="http://schemas.openxmlformats.org/spreadsheetml/2006/main" headerRowCount="0" ref="K2:L9" displayName="Table_7" name="Table_7" id="10">
  <tableColumns count="2">
    <tableColumn name="Column1" id="1"/>
    <tableColumn name="Column2" id="2"/>
  </tableColumns>
  <tableStyleInfo name="シート1 のコピー-style 2" showColumnStripes="0" showFirstColumn="1" showLastColumn="1" showRowStripes="1"/>
</table>
</file>

<file path=xl/tables/table11.xml><?xml version="1.0" encoding="utf-8"?>
<table xmlns="http://schemas.openxmlformats.org/spreadsheetml/2006/main" headerRowCount="0" ref="K11:L52" displayName="Table_8" name="Table_8" id="11">
  <tableColumns count="2">
    <tableColumn name="Column1" id="1"/>
    <tableColumn name="Column2" id="2"/>
  </tableColumns>
  <tableStyleInfo name="シート1 のコピー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64:I74" displayName="Table_9" name="Table_9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シート1 のコピー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1:B50" displayName="Table_10" name="Table_10" id="13">
  <tableColumns count="2">
    <tableColumn name="Column1" id="1"/>
    <tableColumn name="Column2" id="2"/>
  </tableColumns>
  <tableStyleInfo name="シート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3" max="5" width="13.75"/>
    <col customWidth="1" min="7" max="7" width="16.5"/>
    <col customWidth="1" min="8" max="9" width="15.38"/>
    <col customWidth="1" min="10" max="10" width="13.13"/>
    <col customWidth="1" min="11" max="11" width="12.88"/>
    <col customWidth="1" min="12" max="12" width="13.75"/>
    <col customWidth="1" min="13" max="13" width="12.5"/>
    <col customWidth="1" min="14" max="14" width="13.75"/>
  </cols>
  <sheetData>
    <row r="1" ht="22.5" customHeight="1">
      <c r="A1" s="30" t="s">
        <v>7</v>
      </c>
      <c r="B1" s="35" t="s">
        <v>16</v>
      </c>
      <c r="C1" s="35" t="s">
        <v>19</v>
      </c>
      <c r="D1" s="35" t="s">
        <v>20</v>
      </c>
      <c r="E1" s="35" t="s">
        <v>21</v>
      </c>
      <c r="F1" s="39" t="s">
        <v>22</v>
      </c>
      <c r="G1" s="39" t="s">
        <v>27</v>
      </c>
      <c r="H1" s="60" t="s">
        <v>29</v>
      </c>
      <c r="I1" s="39" t="s">
        <v>46</v>
      </c>
      <c r="J1" s="60" t="s">
        <v>49</v>
      </c>
      <c r="K1" s="60" t="s">
        <v>50</v>
      </c>
      <c r="L1" s="60" t="s">
        <v>51</v>
      </c>
      <c r="M1" s="39" t="s">
        <v>53</v>
      </c>
      <c r="N1" s="39" t="s">
        <v>55</v>
      </c>
      <c r="O1" s="64"/>
      <c r="P1" s="65" t="s">
        <v>57</v>
      </c>
    </row>
    <row r="2" ht="22.5" customHeight="1">
      <c r="A2" s="66">
        <v>201.0</v>
      </c>
      <c r="B2" s="43" t="s">
        <v>24</v>
      </c>
      <c r="C2" s="67">
        <v>46217.0</v>
      </c>
      <c r="D2" s="48">
        <v>4.0</v>
      </c>
      <c r="E2" s="50" t="s">
        <v>28</v>
      </c>
      <c r="F2" s="57">
        <v>77.0</v>
      </c>
      <c r="G2" s="72" t="s">
        <v>66</v>
      </c>
      <c r="H2" s="74"/>
      <c r="I2" s="72" t="s">
        <v>69</v>
      </c>
      <c r="J2" s="74"/>
      <c r="K2" s="74"/>
      <c r="L2" s="77"/>
      <c r="M2" s="48" t="s">
        <v>73</v>
      </c>
      <c r="N2" s="77"/>
      <c r="O2" s="78"/>
      <c r="P2" s="78" t="s">
        <v>77</v>
      </c>
      <c r="Q2" s="78" t="s">
        <v>78</v>
      </c>
      <c r="R2" s="78" t="s">
        <v>79</v>
      </c>
      <c r="S2" s="78" t="s">
        <v>81</v>
      </c>
      <c r="U2" s="78" t="s">
        <v>82</v>
      </c>
    </row>
    <row r="3" ht="22.5" customHeight="1">
      <c r="A3" s="66">
        <v>202.0</v>
      </c>
      <c r="B3" s="50" t="s">
        <v>54</v>
      </c>
      <c r="C3" s="46">
        <v>45846.0</v>
      </c>
      <c r="D3" s="48">
        <v>4.0</v>
      </c>
      <c r="E3" s="50" t="s">
        <v>59</v>
      </c>
      <c r="F3" s="57">
        <v>93.0</v>
      </c>
      <c r="G3" s="72" t="s">
        <v>113</v>
      </c>
      <c r="H3" s="74"/>
      <c r="I3" s="80"/>
      <c r="J3" s="81" t="s">
        <v>118</v>
      </c>
      <c r="K3" s="48" t="s">
        <v>120</v>
      </c>
      <c r="L3" s="48" t="s">
        <v>121</v>
      </c>
      <c r="M3" s="48" t="s">
        <v>73</v>
      </c>
      <c r="N3" s="83"/>
      <c r="O3" s="78"/>
      <c r="P3" s="86">
        <f>SUM(Q3:S3)</f>
        <v>210640</v>
      </c>
      <c r="Q3" s="78">
        <v>58000.0</v>
      </c>
      <c r="R3" s="78">
        <v>91080.0</v>
      </c>
      <c r="S3" s="78">
        <v>61560.0</v>
      </c>
      <c r="T3" s="86">
        <f>SUM(Q3:S3)</f>
        <v>210640</v>
      </c>
      <c r="U3" s="86">
        <f>P3/30</f>
        <v>7021.333333</v>
      </c>
    </row>
    <row r="4" ht="22.5" customHeight="1">
      <c r="A4" s="66">
        <v>203.0</v>
      </c>
      <c r="B4" s="50" t="s">
        <v>63</v>
      </c>
      <c r="C4" s="67">
        <v>45351.0</v>
      </c>
      <c r="D4" s="48">
        <v>4.0</v>
      </c>
      <c r="E4" s="50" t="s">
        <v>67</v>
      </c>
      <c r="F4" s="73">
        <v>87.0</v>
      </c>
      <c r="G4" s="88" t="s">
        <v>113</v>
      </c>
      <c r="H4" s="81" t="s">
        <v>133</v>
      </c>
      <c r="I4" s="89" t="s">
        <v>69</v>
      </c>
      <c r="J4" s="48" t="s">
        <v>118</v>
      </c>
      <c r="K4" s="81" t="s">
        <v>135</v>
      </c>
      <c r="L4" s="83"/>
      <c r="M4" s="81" t="s">
        <v>73</v>
      </c>
      <c r="N4" s="48" t="s">
        <v>55</v>
      </c>
    </row>
    <row r="5" ht="22.5" customHeight="1">
      <c r="A5" s="66">
        <v>204.0</v>
      </c>
      <c r="B5" s="50" t="s">
        <v>72</v>
      </c>
      <c r="C5" s="67">
        <v>46042.0</v>
      </c>
      <c r="D5" s="48">
        <v>4.0</v>
      </c>
      <c r="E5" s="50" t="s">
        <v>75</v>
      </c>
      <c r="F5" s="57">
        <v>94.0</v>
      </c>
      <c r="G5" s="50" t="s">
        <v>66</v>
      </c>
      <c r="H5" s="77"/>
      <c r="I5" s="72" t="s">
        <v>143</v>
      </c>
      <c r="J5" s="48" t="s">
        <v>144</v>
      </c>
      <c r="K5" s="48" t="s">
        <v>146</v>
      </c>
      <c r="L5" s="48" t="s">
        <v>147</v>
      </c>
      <c r="M5" s="48" t="s">
        <v>73</v>
      </c>
      <c r="N5" s="74"/>
      <c r="O5" s="78"/>
      <c r="P5" s="78" t="s">
        <v>149</v>
      </c>
    </row>
    <row r="6" ht="22.5" customHeight="1">
      <c r="A6" s="66">
        <v>205.0</v>
      </c>
      <c r="B6" s="50" t="s">
        <v>85</v>
      </c>
      <c r="C6" s="67">
        <v>43770.0</v>
      </c>
      <c r="D6" s="48">
        <v>1.0</v>
      </c>
      <c r="E6" s="50" t="s">
        <v>87</v>
      </c>
      <c r="F6" s="73">
        <v>99.0</v>
      </c>
      <c r="G6" s="88" t="s">
        <v>153</v>
      </c>
      <c r="H6" s="81" t="s">
        <v>133</v>
      </c>
      <c r="I6" s="89" t="s">
        <v>155</v>
      </c>
      <c r="J6" s="48" t="s">
        <v>118</v>
      </c>
      <c r="K6" s="81" t="s">
        <v>135</v>
      </c>
      <c r="L6" s="81" t="s">
        <v>121</v>
      </c>
      <c r="M6" s="81" t="s">
        <v>156</v>
      </c>
      <c r="N6" s="74"/>
      <c r="P6" s="86">
        <f>SUM(Q6:S6)</f>
        <v>149080</v>
      </c>
      <c r="Q6" s="78">
        <v>58000.0</v>
      </c>
      <c r="R6" s="78">
        <v>91080.0</v>
      </c>
      <c r="S6" s="78">
        <v>0.0</v>
      </c>
      <c r="U6" s="86">
        <f>P6/30</f>
        <v>4969.333333</v>
      </c>
    </row>
    <row r="7" ht="22.5" customHeight="1">
      <c r="A7" s="66">
        <v>206.0</v>
      </c>
      <c r="B7" s="43" t="s">
        <v>92</v>
      </c>
      <c r="C7" s="46">
        <v>46057.0</v>
      </c>
      <c r="D7" s="48">
        <v>1.0</v>
      </c>
      <c r="E7" s="50" t="s">
        <v>95</v>
      </c>
      <c r="F7" s="57">
        <v>92.0</v>
      </c>
      <c r="G7" s="72" t="s">
        <v>165</v>
      </c>
      <c r="H7" s="77"/>
      <c r="I7" s="72" t="s">
        <v>69</v>
      </c>
      <c r="J7" s="48" t="s">
        <v>167</v>
      </c>
      <c r="K7" s="48" t="s">
        <v>120</v>
      </c>
      <c r="L7" s="48" t="s">
        <v>121</v>
      </c>
      <c r="M7" s="48" t="s">
        <v>73</v>
      </c>
      <c r="N7" s="74"/>
    </row>
    <row r="8" ht="22.5" customHeight="1">
      <c r="A8" s="66">
        <v>207.0</v>
      </c>
      <c r="B8" s="43" t="s">
        <v>99</v>
      </c>
      <c r="C8" s="67">
        <v>45112.0</v>
      </c>
      <c r="D8" s="48">
        <v>1.0</v>
      </c>
      <c r="E8" s="50" t="s">
        <v>102</v>
      </c>
      <c r="F8" s="73">
        <v>85.0</v>
      </c>
      <c r="G8" s="88" t="s">
        <v>165</v>
      </c>
      <c r="H8" s="83"/>
      <c r="I8" s="89" t="s">
        <v>69</v>
      </c>
      <c r="J8" s="48" t="s">
        <v>223</v>
      </c>
      <c r="K8" s="81" t="s">
        <v>135</v>
      </c>
      <c r="L8" s="81" t="s">
        <v>121</v>
      </c>
      <c r="M8" s="81" t="s">
        <v>156</v>
      </c>
      <c r="N8" s="74"/>
      <c r="O8" s="78"/>
      <c r="P8" s="91" t="s">
        <v>226</v>
      </c>
      <c r="Q8" s="92" t="s">
        <v>227</v>
      </c>
      <c r="R8" s="93" t="s">
        <v>228</v>
      </c>
      <c r="S8" s="94" t="s">
        <v>229</v>
      </c>
      <c r="T8" s="95" t="s">
        <v>230</v>
      </c>
    </row>
    <row r="9" ht="22.5" customHeight="1">
      <c r="A9" s="66">
        <v>208.0</v>
      </c>
      <c r="B9" s="50" t="s">
        <v>106</v>
      </c>
      <c r="C9" s="98">
        <v>44918.0</v>
      </c>
      <c r="D9" s="48">
        <v>2.0</v>
      </c>
      <c r="E9" s="50" t="s">
        <v>108</v>
      </c>
      <c r="F9" s="73">
        <v>95.0</v>
      </c>
      <c r="G9" s="88" t="s">
        <v>66</v>
      </c>
      <c r="H9" s="81" t="s">
        <v>237</v>
      </c>
      <c r="I9" s="89" t="s">
        <v>155</v>
      </c>
      <c r="J9" s="81" t="s">
        <v>118</v>
      </c>
      <c r="K9" s="81" t="s">
        <v>135</v>
      </c>
      <c r="L9" s="81" t="s">
        <v>121</v>
      </c>
      <c r="M9" s="81" t="s">
        <v>73</v>
      </c>
      <c r="N9" s="83"/>
      <c r="O9" s="78"/>
      <c r="P9" s="99">
        <v>16699.0</v>
      </c>
      <c r="Q9" s="99">
        <v>18764.0</v>
      </c>
      <c r="R9" s="99">
        <v>20920.0</v>
      </c>
      <c r="S9" s="99">
        <v>22923.0</v>
      </c>
      <c r="T9" s="99">
        <v>25049.0</v>
      </c>
      <c r="U9" s="100"/>
      <c r="V9" s="100"/>
      <c r="W9" s="100"/>
      <c r="X9" s="100"/>
    </row>
    <row r="10" ht="22.5" customHeight="1">
      <c r="A10" s="66">
        <v>209.0</v>
      </c>
      <c r="B10" s="50" t="s">
        <v>114</v>
      </c>
      <c r="C10" s="67">
        <v>45056.0</v>
      </c>
      <c r="D10" s="48">
        <v>3.0</v>
      </c>
      <c r="E10" s="50" t="s">
        <v>117</v>
      </c>
      <c r="F10" s="73">
        <v>91.0</v>
      </c>
      <c r="G10" s="88" t="s">
        <v>113</v>
      </c>
      <c r="H10" s="81" t="s">
        <v>237</v>
      </c>
      <c r="I10" s="89" t="s">
        <v>242</v>
      </c>
      <c r="J10" s="81" t="s">
        <v>118</v>
      </c>
      <c r="K10" s="81" t="s">
        <v>135</v>
      </c>
      <c r="L10" s="81" t="s">
        <v>121</v>
      </c>
      <c r="M10" s="81" t="s">
        <v>156</v>
      </c>
      <c r="N10" s="83"/>
      <c r="P10" s="101">
        <f>P9+P3</f>
        <v>227339</v>
      </c>
      <c r="Q10" s="102">
        <f>Q9+P3</f>
        <v>229404</v>
      </c>
      <c r="R10" s="103">
        <f>R9+P3</f>
        <v>231560</v>
      </c>
      <c r="S10" s="104">
        <f>S9+P3</f>
        <v>233563</v>
      </c>
      <c r="T10" s="106">
        <f>P3+T9</f>
        <v>235689</v>
      </c>
    </row>
    <row r="11" ht="22.5" customHeight="1">
      <c r="A11" s="66">
        <v>210.0</v>
      </c>
      <c r="B11" s="50" t="s">
        <v>123</v>
      </c>
      <c r="C11" s="67">
        <v>44998.0</v>
      </c>
      <c r="D11" s="48">
        <v>4.0</v>
      </c>
      <c r="E11" s="50" t="s">
        <v>124</v>
      </c>
      <c r="F11" s="73">
        <v>93.0</v>
      </c>
      <c r="G11" s="88" t="s">
        <v>165</v>
      </c>
      <c r="H11" s="83"/>
      <c r="I11" s="89" t="s">
        <v>143</v>
      </c>
      <c r="J11" s="48" t="s">
        <v>144</v>
      </c>
      <c r="K11" s="81" t="s">
        <v>146</v>
      </c>
      <c r="L11" s="81" t="s">
        <v>121</v>
      </c>
      <c r="M11" s="81" t="s">
        <v>73</v>
      </c>
      <c r="N11" s="74"/>
      <c r="O11" s="78"/>
      <c r="P11" s="78">
        <f t="shared" ref="P11:T11" si="1">P9*2</f>
        <v>33398</v>
      </c>
      <c r="Q11" s="78">
        <f t="shared" si="1"/>
        <v>37528</v>
      </c>
      <c r="R11" s="78">
        <f t="shared" si="1"/>
        <v>41840</v>
      </c>
      <c r="S11" s="78">
        <f t="shared" si="1"/>
        <v>45846</v>
      </c>
      <c r="T11" s="78">
        <f t="shared" si="1"/>
        <v>50098</v>
      </c>
    </row>
    <row r="12" ht="22.5" customHeight="1">
      <c r="A12" s="66">
        <v>211.0</v>
      </c>
      <c r="B12" s="50" t="s">
        <v>125</v>
      </c>
      <c r="C12" s="67">
        <v>45632.0</v>
      </c>
      <c r="D12" s="48">
        <v>2.0</v>
      </c>
      <c r="E12" s="50" t="s">
        <v>126</v>
      </c>
      <c r="F12" s="73">
        <v>84.0</v>
      </c>
      <c r="G12" s="88" t="s">
        <v>260</v>
      </c>
      <c r="H12" s="83"/>
      <c r="I12" s="89" t="s">
        <v>69</v>
      </c>
      <c r="J12" s="48" t="s">
        <v>118</v>
      </c>
      <c r="K12" s="81" t="s">
        <v>120</v>
      </c>
      <c r="L12" s="81" t="s">
        <v>121</v>
      </c>
      <c r="M12" s="81" t="s">
        <v>73</v>
      </c>
      <c r="N12" s="74"/>
      <c r="P12" s="101">
        <f>P11+P3</f>
        <v>244038</v>
      </c>
      <c r="Q12" s="102">
        <f>Q11+P3</f>
        <v>248168</v>
      </c>
      <c r="R12" s="103">
        <f>R11+P3</f>
        <v>252480</v>
      </c>
      <c r="S12" s="104">
        <f>S11+P3</f>
        <v>256486</v>
      </c>
      <c r="T12" s="106">
        <f>P3+T11</f>
        <v>260738</v>
      </c>
    </row>
    <row r="13" ht="22.5" customHeight="1">
      <c r="A13" s="66">
        <v>212.0</v>
      </c>
      <c r="B13" s="50" t="s">
        <v>127</v>
      </c>
      <c r="C13" s="67">
        <v>45548.0</v>
      </c>
      <c r="D13" s="48">
        <v>5.0</v>
      </c>
      <c r="E13" s="50" t="s">
        <v>128</v>
      </c>
      <c r="F13" s="57">
        <v>91.0</v>
      </c>
      <c r="G13" s="50" t="s">
        <v>165</v>
      </c>
      <c r="H13" s="48" t="s">
        <v>133</v>
      </c>
      <c r="I13" s="72" t="s">
        <v>69</v>
      </c>
      <c r="J13" s="48" t="s">
        <v>223</v>
      </c>
      <c r="K13" s="48" t="s">
        <v>135</v>
      </c>
      <c r="L13" s="48" t="s">
        <v>121</v>
      </c>
      <c r="M13" s="48" t="s">
        <v>73</v>
      </c>
      <c r="N13" s="48" t="s">
        <v>55</v>
      </c>
      <c r="P13" s="86">
        <f t="shared" ref="P13:T13" si="2">P9*3</f>
        <v>50097</v>
      </c>
      <c r="Q13" s="86">
        <f t="shared" si="2"/>
        <v>56292</v>
      </c>
      <c r="R13" s="86">
        <f t="shared" si="2"/>
        <v>62760</v>
      </c>
      <c r="S13" s="86">
        <f t="shared" si="2"/>
        <v>68769</v>
      </c>
      <c r="T13" s="86">
        <f t="shared" si="2"/>
        <v>75147</v>
      </c>
    </row>
    <row r="14" ht="22.5" customHeight="1">
      <c r="A14" s="41">
        <v>213.0</v>
      </c>
      <c r="B14" s="50" t="s">
        <v>129</v>
      </c>
      <c r="C14" s="46">
        <v>45720.0</v>
      </c>
      <c r="D14" s="48">
        <v>2.0</v>
      </c>
      <c r="E14" s="50" t="s">
        <v>130</v>
      </c>
      <c r="F14" s="73">
        <v>89.0</v>
      </c>
      <c r="G14" s="88" t="s">
        <v>275</v>
      </c>
      <c r="H14" s="81" t="s">
        <v>237</v>
      </c>
      <c r="I14" s="89" t="s">
        <v>276</v>
      </c>
      <c r="J14" s="48" t="s">
        <v>223</v>
      </c>
      <c r="K14" s="81" t="s">
        <v>135</v>
      </c>
      <c r="L14" s="83"/>
      <c r="M14" s="81" t="s">
        <v>73</v>
      </c>
      <c r="N14" s="74"/>
      <c r="P14" s="101">
        <f>P13+P3</f>
        <v>260737</v>
      </c>
      <c r="Q14" s="102">
        <f>Q13+P3</f>
        <v>266932</v>
      </c>
      <c r="R14" s="103">
        <f>R13+P3</f>
        <v>273400</v>
      </c>
      <c r="S14" s="104">
        <f>S13+P3</f>
        <v>279409</v>
      </c>
      <c r="T14" s="106">
        <f>T13+P3</f>
        <v>285787</v>
      </c>
    </row>
    <row r="15" ht="22.5" customHeight="1">
      <c r="A15" s="66">
        <v>214.0</v>
      </c>
      <c r="B15" s="50" t="s">
        <v>131</v>
      </c>
      <c r="C15" s="67">
        <v>44278.0</v>
      </c>
      <c r="D15" s="48">
        <v>2.0</v>
      </c>
      <c r="E15" s="50" t="s">
        <v>132</v>
      </c>
      <c r="F15" s="87">
        <v>103.0</v>
      </c>
      <c r="G15" s="88" t="s">
        <v>165</v>
      </c>
      <c r="H15" s="81" t="s">
        <v>133</v>
      </c>
      <c r="I15" s="89" t="s">
        <v>155</v>
      </c>
      <c r="J15" s="48" t="s">
        <v>118</v>
      </c>
      <c r="K15" s="81" t="s">
        <v>146</v>
      </c>
      <c r="L15" s="81" t="s">
        <v>121</v>
      </c>
      <c r="M15" s="81" t="s">
        <v>73</v>
      </c>
      <c r="N15" s="74"/>
    </row>
    <row r="16" ht="22.5" customHeight="1">
      <c r="A16" s="66">
        <v>215.0</v>
      </c>
      <c r="B16" s="43" t="s">
        <v>134</v>
      </c>
      <c r="C16" s="46">
        <v>45751.0</v>
      </c>
      <c r="D16" s="48">
        <v>1.0</v>
      </c>
      <c r="E16" s="50" t="s">
        <v>136</v>
      </c>
      <c r="F16" s="73">
        <v>93.0</v>
      </c>
      <c r="G16" s="88" t="s">
        <v>113</v>
      </c>
      <c r="H16" s="83"/>
      <c r="I16" s="89" t="s">
        <v>69</v>
      </c>
      <c r="J16" s="81" t="s">
        <v>118</v>
      </c>
      <c r="K16" s="81" t="s">
        <v>120</v>
      </c>
      <c r="L16" s="81" t="s">
        <v>121</v>
      </c>
      <c r="M16" s="81" t="s">
        <v>73</v>
      </c>
      <c r="N16" s="83"/>
    </row>
    <row r="17" ht="22.5" customHeight="1">
      <c r="A17" s="66">
        <v>216.0</v>
      </c>
      <c r="B17" s="50" t="s">
        <v>137</v>
      </c>
      <c r="C17" s="98">
        <v>44917.0</v>
      </c>
      <c r="D17" s="48">
        <v>5.0</v>
      </c>
      <c r="E17" s="50" t="s">
        <v>138</v>
      </c>
      <c r="F17" s="73">
        <v>92.0</v>
      </c>
      <c r="G17" s="88" t="s">
        <v>165</v>
      </c>
      <c r="H17" s="81" t="s">
        <v>237</v>
      </c>
      <c r="I17" s="89" t="s">
        <v>143</v>
      </c>
      <c r="J17" s="81" t="s">
        <v>144</v>
      </c>
      <c r="K17" s="81" t="s">
        <v>146</v>
      </c>
      <c r="L17" s="83"/>
      <c r="M17" s="81" t="s">
        <v>156</v>
      </c>
      <c r="N17" s="81" t="s">
        <v>55</v>
      </c>
    </row>
    <row r="18" ht="22.5" customHeight="1">
      <c r="A18" s="66">
        <v>217.0</v>
      </c>
      <c r="B18" s="50" t="s">
        <v>139</v>
      </c>
      <c r="C18" s="46">
        <v>45898.0</v>
      </c>
      <c r="D18" s="48">
        <v>2.0</v>
      </c>
      <c r="E18" s="50" t="s">
        <v>140</v>
      </c>
      <c r="F18" s="57">
        <v>84.0</v>
      </c>
      <c r="G18" s="50" t="s">
        <v>113</v>
      </c>
      <c r="H18" s="77"/>
      <c r="I18" s="72"/>
      <c r="J18" s="48" t="s">
        <v>223</v>
      </c>
      <c r="K18" s="48" t="s">
        <v>135</v>
      </c>
      <c r="L18" s="77"/>
      <c r="M18" s="48" t="s">
        <v>73</v>
      </c>
      <c r="N18" s="74"/>
    </row>
    <row r="19" ht="22.5" customHeight="1">
      <c r="A19" s="66">
        <v>218.0</v>
      </c>
      <c r="B19" s="50" t="s">
        <v>141</v>
      </c>
      <c r="C19" s="67">
        <v>46155.0</v>
      </c>
      <c r="D19" s="48">
        <v>1.0</v>
      </c>
      <c r="E19" s="50" t="s">
        <v>142</v>
      </c>
      <c r="F19" s="66">
        <v>86.0</v>
      </c>
      <c r="G19" s="50" t="s">
        <v>113</v>
      </c>
      <c r="H19" s="77"/>
      <c r="I19" s="72"/>
      <c r="J19" s="48" t="s">
        <v>144</v>
      </c>
      <c r="K19" s="48"/>
      <c r="L19" s="77"/>
      <c r="M19" s="48"/>
      <c r="N19" s="74"/>
    </row>
    <row r="20" ht="22.5" customHeight="1">
      <c r="A20" s="66">
        <v>219.0</v>
      </c>
      <c r="B20" s="50" t="s">
        <v>145</v>
      </c>
      <c r="C20" s="67">
        <v>44009.0</v>
      </c>
      <c r="D20" s="48">
        <v>3.0</v>
      </c>
      <c r="E20" s="50" t="s">
        <v>148</v>
      </c>
      <c r="F20" s="73">
        <v>98.0</v>
      </c>
      <c r="G20" s="88" t="s">
        <v>113</v>
      </c>
      <c r="H20" s="81" t="s">
        <v>133</v>
      </c>
      <c r="I20" s="89" t="s">
        <v>301</v>
      </c>
      <c r="J20" s="48" t="s">
        <v>144</v>
      </c>
      <c r="K20" s="81" t="s">
        <v>146</v>
      </c>
      <c r="L20" s="83"/>
      <c r="M20" s="81" t="s">
        <v>156</v>
      </c>
      <c r="N20" s="74"/>
      <c r="R20" s="111"/>
    </row>
    <row r="21" ht="22.5" customHeight="1">
      <c r="A21" s="66">
        <v>220.0</v>
      </c>
      <c r="B21" s="50" t="s">
        <v>129</v>
      </c>
      <c r="C21" s="67">
        <v>45720.0</v>
      </c>
      <c r="D21" s="48">
        <v>2.0</v>
      </c>
      <c r="E21" s="50" t="s">
        <v>130</v>
      </c>
      <c r="F21" s="73">
        <v>89.0</v>
      </c>
      <c r="G21" s="88" t="s">
        <v>275</v>
      </c>
      <c r="H21" s="81" t="s">
        <v>237</v>
      </c>
      <c r="I21" s="89" t="s">
        <v>276</v>
      </c>
      <c r="J21" s="48" t="s">
        <v>223</v>
      </c>
      <c r="K21" s="81" t="s">
        <v>135</v>
      </c>
      <c r="L21" s="83"/>
      <c r="M21" s="81" t="s">
        <v>73</v>
      </c>
      <c r="N21" s="74"/>
      <c r="Q21" s="78" t="s">
        <v>303</v>
      </c>
    </row>
    <row r="22" ht="22.5" customHeight="1">
      <c r="A22" s="66">
        <v>221.0</v>
      </c>
      <c r="B22" s="43" t="s">
        <v>150</v>
      </c>
      <c r="C22" s="46">
        <v>45873.0</v>
      </c>
      <c r="D22" s="48">
        <v>2.0</v>
      </c>
      <c r="E22" s="50" t="s">
        <v>151</v>
      </c>
      <c r="F22" s="66">
        <v>89.0</v>
      </c>
      <c r="G22" s="50" t="s">
        <v>275</v>
      </c>
      <c r="H22" s="77"/>
      <c r="I22" s="72" t="s">
        <v>301</v>
      </c>
      <c r="J22" s="48" t="s">
        <v>223</v>
      </c>
      <c r="K22" s="48" t="s">
        <v>135</v>
      </c>
      <c r="L22" s="77"/>
      <c r="M22" s="48" t="s">
        <v>73</v>
      </c>
      <c r="N22" s="74"/>
    </row>
    <row r="23" ht="22.5" customHeight="1">
      <c r="A23" s="41">
        <v>222.0</v>
      </c>
      <c r="B23" s="43" t="s">
        <v>152</v>
      </c>
      <c r="C23" s="46">
        <v>46213.0</v>
      </c>
      <c r="D23" s="48">
        <v>1.0</v>
      </c>
      <c r="E23" s="50" t="s">
        <v>154</v>
      </c>
      <c r="F23" s="57">
        <v>87.0</v>
      </c>
      <c r="G23" s="72" t="s">
        <v>66</v>
      </c>
      <c r="H23" s="74"/>
      <c r="I23" s="80"/>
      <c r="J23" s="81" t="s">
        <v>223</v>
      </c>
      <c r="K23" s="81" t="s">
        <v>135</v>
      </c>
      <c r="L23" s="83"/>
      <c r="M23" s="81" t="s">
        <v>156</v>
      </c>
      <c r="N23" s="83"/>
    </row>
    <row r="24" ht="22.5" customHeight="1">
      <c r="A24" s="66">
        <v>223.0</v>
      </c>
      <c r="B24" s="43" t="s">
        <v>157</v>
      </c>
      <c r="C24" s="67">
        <v>44972.0</v>
      </c>
      <c r="D24" s="48">
        <v>3.0</v>
      </c>
      <c r="E24" s="50" t="s">
        <v>158</v>
      </c>
      <c r="F24" s="73">
        <v>87.0</v>
      </c>
      <c r="G24" s="88" t="s">
        <v>113</v>
      </c>
      <c r="H24" s="81" t="s">
        <v>237</v>
      </c>
      <c r="I24" s="89" t="s">
        <v>69</v>
      </c>
      <c r="J24" s="81" t="s">
        <v>144</v>
      </c>
      <c r="K24" s="81" t="s">
        <v>304</v>
      </c>
      <c r="L24" s="83"/>
      <c r="M24" s="81" t="s">
        <v>156</v>
      </c>
      <c r="N24" s="83"/>
    </row>
    <row r="25" ht="22.5" customHeight="1">
      <c r="A25" s="66">
        <v>224.0</v>
      </c>
      <c r="B25" s="50" t="s">
        <v>159</v>
      </c>
      <c r="C25" s="67">
        <v>45813.0</v>
      </c>
      <c r="D25" s="48">
        <v>3.0</v>
      </c>
      <c r="E25" s="50" t="s">
        <v>160</v>
      </c>
      <c r="F25" s="57">
        <v>89.0</v>
      </c>
      <c r="G25" s="50" t="s">
        <v>113</v>
      </c>
      <c r="H25" s="48" t="s">
        <v>237</v>
      </c>
      <c r="I25" s="72" t="s">
        <v>305</v>
      </c>
      <c r="J25" s="48" t="s">
        <v>223</v>
      </c>
      <c r="K25" s="48" t="s">
        <v>135</v>
      </c>
      <c r="L25" s="77"/>
      <c r="M25" s="48" t="s">
        <v>73</v>
      </c>
      <c r="N25" s="74"/>
    </row>
    <row r="26" ht="22.5" customHeight="1">
      <c r="A26" s="66">
        <v>225.0</v>
      </c>
      <c r="B26" s="50" t="s">
        <v>161</v>
      </c>
      <c r="C26" s="46">
        <v>43347.0</v>
      </c>
      <c r="D26" s="48">
        <v>4.0</v>
      </c>
      <c r="E26" s="50" t="s">
        <v>162</v>
      </c>
      <c r="F26" s="73">
        <v>88.0</v>
      </c>
      <c r="G26" s="88" t="s">
        <v>275</v>
      </c>
      <c r="H26" s="81" t="s">
        <v>133</v>
      </c>
      <c r="I26" s="89" t="s">
        <v>155</v>
      </c>
      <c r="J26" s="48" t="s">
        <v>118</v>
      </c>
      <c r="K26" s="81" t="s">
        <v>135</v>
      </c>
      <c r="L26" s="81" t="s">
        <v>121</v>
      </c>
      <c r="M26" s="81" t="s">
        <v>73</v>
      </c>
      <c r="N26" s="77"/>
    </row>
    <row r="27" ht="22.5" customHeight="1">
      <c r="A27" s="66">
        <v>301.0</v>
      </c>
      <c r="B27" s="50" t="s">
        <v>163</v>
      </c>
      <c r="C27" s="46">
        <v>45826.0</v>
      </c>
      <c r="D27" s="48">
        <v>2.0</v>
      </c>
      <c r="E27" s="50" t="s">
        <v>164</v>
      </c>
      <c r="F27" s="73">
        <v>76.0</v>
      </c>
      <c r="G27" s="89" t="s">
        <v>165</v>
      </c>
      <c r="H27" s="83"/>
      <c r="I27" s="89" t="s">
        <v>155</v>
      </c>
      <c r="J27" s="48" t="s">
        <v>223</v>
      </c>
      <c r="K27" s="81" t="s">
        <v>135</v>
      </c>
      <c r="L27" s="83"/>
      <c r="M27" s="81" t="s">
        <v>73</v>
      </c>
      <c r="N27" s="74"/>
    </row>
    <row r="28" ht="22.5" customHeight="1">
      <c r="A28" s="66">
        <v>302.0</v>
      </c>
      <c r="B28" s="50" t="s">
        <v>166</v>
      </c>
      <c r="C28" s="67">
        <v>43002.0</v>
      </c>
      <c r="D28" s="48">
        <v>3.0</v>
      </c>
      <c r="E28" s="50" t="s">
        <v>168</v>
      </c>
      <c r="F28" s="73">
        <v>87.0</v>
      </c>
      <c r="G28" s="88" t="s">
        <v>308</v>
      </c>
      <c r="H28" s="81" t="s">
        <v>133</v>
      </c>
      <c r="I28" s="89" t="s">
        <v>155</v>
      </c>
      <c r="J28" s="48" t="s">
        <v>223</v>
      </c>
      <c r="K28" s="81" t="s">
        <v>135</v>
      </c>
      <c r="L28" s="83"/>
      <c r="M28" s="81" t="s">
        <v>73</v>
      </c>
      <c r="N28" s="74"/>
    </row>
    <row r="29" ht="22.5" customHeight="1">
      <c r="A29" s="66">
        <v>303.0</v>
      </c>
      <c r="B29" s="50" t="s">
        <v>171</v>
      </c>
      <c r="C29" s="67">
        <v>45909.0</v>
      </c>
      <c r="D29" s="48">
        <v>2.0</v>
      </c>
      <c r="E29" s="50" t="s">
        <v>177</v>
      </c>
      <c r="F29" s="57">
        <v>72.0</v>
      </c>
      <c r="G29" s="50" t="s">
        <v>113</v>
      </c>
      <c r="H29" s="77"/>
      <c r="I29" s="72" t="s">
        <v>301</v>
      </c>
      <c r="J29" s="48" t="s">
        <v>223</v>
      </c>
      <c r="K29" s="48" t="s">
        <v>135</v>
      </c>
      <c r="L29" s="77"/>
      <c r="M29" s="48" t="s">
        <v>73</v>
      </c>
      <c r="N29" s="74"/>
    </row>
    <row r="30" ht="22.5" customHeight="1">
      <c r="A30" s="66">
        <v>304.0</v>
      </c>
      <c r="B30" s="50" t="s">
        <v>192</v>
      </c>
      <c r="C30" s="67">
        <v>45723.0</v>
      </c>
      <c r="D30" s="48">
        <v>3.0</v>
      </c>
      <c r="E30" s="50" t="s">
        <v>197</v>
      </c>
      <c r="F30" s="57">
        <v>84.0</v>
      </c>
      <c r="G30" s="72" t="s">
        <v>165</v>
      </c>
      <c r="H30" s="77"/>
      <c r="I30" s="72" t="s">
        <v>301</v>
      </c>
      <c r="J30" s="48" t="s">
        <v>312</v>
      </c>
      <c r="K30" s="48" t="s">
        <v>312</v>
      </c>
      <c r="L30" s="77"/>
      <c r="M30" s="48" t="s">
        <v>73</v>
      </c>
      <c r="N30" s="77"/>
    </row>
    <row r="31" ht="22.5" customHeight="1">
      <c r="A31" s="66">
        <v>305.0</v>
      </c>
      <c r="B31" s="50" t="s">
        <v>201</v>
      </c>
      <c r="C31" s="67">
        <v>45104.0</v>
      </c>
      <c r="D31" s="48">
        <v>2.0</v>
      </c>
      <c r="E31" s="50" t="s">
        <v>218</v>
      </c>
      <c r="F31" s="73">
        <v>92.0</v>
      </c>
      <c r="G31" s="88" t="s">
        <v>66</v>
      </c>
      <c r="H31" s="83"/>
      <c r="I31" s="89" t="s">
        <v>69</v>
      </c>
      <c r="J31" s="81" t="s">
        <v>144</v>
      </c>
      <c r="K31" s="81" t="s">
        <v>120</v>
      </c>
      <c r="L31" s="83"/>
      <c r="M31" s="81" t="s">
        <v>156</v>
      </c>
      <c r="N31" s="83"/>
    </row>
    <row r="32" ht="22.5" customHeight="1">
      <c r="A32" s="66">
        <v>306.0</v>
      </c>
      <c r="B32" s="50" t="s">
        <v>224</v>
      </c>
      <c r="C32" s="46">
        <v>46098.0</v>
      </c>
      <c r="D32" s="48">
        <v>2.0</v>
      </c>
      <c r="E32" s="50" t="s">
        <v>225</v>
      </c>
      <c r="F32" s="57">
        <v>81.0</v>
      </c>
      <c r="G32" s="50" t="s">
        <v>113</v>
      </c>
      <c r="H32" s="48"/>
      <c r="I32" s="72" t="s">
        <v>301</v>
      </c>
      <c r="J32" s="48" t="s">
        <v>118</v>
      </c>
      <c r="K32" s="48" t="s">
        <v>120</v>
      </c>
      <c r="L32" s="77"/>
      <c r="M32" s="48" t="s">
        <v>73</v>
      </c>
      <c r="N32" s="48"/>
    </row>
    <row r="33" ht="22.5" customHeight="1">
      <c r="A33" s="66">
        <v>307.0</v>
      </c>
      <c r="B33" s="50" t="s">
        <v>231</v>
      </c>
      <c r="C33" s="67">
        <v>44232.0</v>
      </c>
      <c r="D33" s="48">
        <v>1.0</v>
      </c>
      <c r="E33" s="50" t="s">
        <v>232</v>
      </c>
      <c r="F33" s="73">
        <v>86.0</v>
      </c>
      <c r="G33" s="88" t="s">
        <v>113</v>
      </c>
      <c r="H33" s="81" t="s">
        <v>133</v>
      </c>
      <c r="I33" s="89"/>
      <c r="J33" s="48" t="s">
        <v>223</v>
      </c>
      <c r="K33" s="81" t="s">
        <v>135</v>
      </c>
      <c r="L33" s="83"/>
      <c r="M33" s="81" t="s">
        <v>73</v>
      </c>
      <c r="N33" s="74"/>
    </row>
    <row r="34" ht="22.5" customHeight="1">
      <c r="A34" s="66">
        <v>308.0</v>
      </c>
      <c r="B34" s="50" t="s">
        <v>233</v>
      </c>
      <c r="C34" s="98">
        <v>45644.0</v>
      </c>
      <c r="D34" s="48">
        <v>5.0</v>
      </c>
      <c r="E34" s="50" t="s">
        <v>234</v>
      </c>
      <c r="F34" s="73">
        <v>99.0</v>
      </c>
      <c r="G34" s="88" t="s">
        <v>113</v>
      </c>
      <c r="H34" s="83"/>
      <c r="I34" s="89" t="s">
        <v>315</v>
      </c>
      <c r="J34" s="48" t="s">
        <v>144</v>
      </c>
      <c r="K34" s="81" t="s">
        <v>120</v>
      </c>
      <c r="L34" s="83"/>
      <c r="M34" s="81" t="s">
        <v>73</v>
      </c>
      <c r="N34" s="74"/>
    </row>
    <row r="35" ht="22.5" customHeight="1">
      <c r="A35" s="66">
        <v>309.0</v>
      </c>
      <c r="B35" s="50" t="s">
        <v>235</v>
      </c>
      <c r="C35" s="46">
        <v>45729.0</v>
      </c>
      <c r="D35" s="48">
        <v>2.0</v>
      </c>
      <c r="E35" s="50" t="s">
        <v>236</v>
      </c>
      <c r="F35" s="73">
        <v>91.0</v>
      </c>
      <c r="G35" s="88" t="s">
        <v>275</v>
      </c>
      <c r="H35" s="119"/>
      <c r="I35" s="112"/>
      <c r="J35" s="48" t="s">
        <v>223</v>
      </c>
      <c r="K35" s="81" t="s">
        <v>135</v>
      </c>
      <c r="L35" s="83"/>
      <c r="M35" s="81" t="s">
        <v>73</v>
      </c>
      <c r="N35" s="74"/>
    </row>
    <row r="36" ht="22.5" customHeight="1">
      <c r="A36" s="66">
        <v>310.0</v>
      </c>
      <c r="B36" s="50" t="s">
        <v>238</v>
      </c>
      <c r="C36" s="67">
        <v>45754.0</v>
      </c>
      <c r="D36" s="48">
        <v>1.0</v>
      </c>
      <c r="E36" s="50" t="s">
        <v>239</v>
      </c>
      <c r="F36" s="73">
        <v>98.0</v>
      </c>
      <c r="G36" s="88" t="s">
        <v>153</v>
      </c>
      <c r="H36" s="81" t="s">
        <v>133</v>
      </c>
      <c r="I36" s="89" t="s">
        <v>69</v>
      </c>
      <c r="J36" s="48" t="s">
        <v>144</v>
      </c>
      <c r="K36" s="81" t="s">
        <v>304</v>
      </c>
      <c r="L36" s="83"/>
      <c r="M36" s="81" t="s">
        <v>73</v>
      </c>
      <c r="N36" s="74"/>
    </row>
    <row r="37" ht="22.5" customHeight="1">
      <c r="A37" s="66">
        <v>311.0</v>
      </c>
      <c r="B37" s="43" t="s">
        <v>240</v>
      </c>
      <c r="C37" s="67">
        <v>45338.0</v>
      </c>
      <c r="D37" s="48">
        <v>2.0</v>
      </c>
      <c r="E37" s="50" t="s">
        <v>241</v>
      </c>
      <c r="F37" s="73">
        <v>93.0</v>
      </c>
      <c r="G37" s="88" t="s">
        <v>165</v>
      </c>
      <c r="H37" s="81" t="s">
        <v>237</v>
      </c>
      <c r="I37" s="89" t="s">
        <v>271</v>
      </c>
      <c r="J37" s="81" t="s">
        <v>118</v>
      </c>
      <c r="K37" s="81" t="s">
        <v>120</v>
      </c>
      <c r="L37" s="83"/>
      <c r="M37" s="81" t="s">
        <v>156</v>
      </c>
      <c r="N37" s="83"/>
    </row>
    <row r="38" ht="22.5" customHeight="1">
      <c r="A38" s="41">
        <v>312.0</v>
      </c>
      <c r="B38" s="50" t="s">
        <v>243</v>
      </c>
      <c r="C38" s="46">
        <v>45962.0</v>
      </c>
      <c r="D38" s="48">
        <v>3.0</v>
      </c>
      <c r="E38" s="50" t="s">
        <v>244</v>
      </c>
      <c r="F38" s="57">
        <v>94.0</v>
      </c>
      <c r="G38" s="72" t="s">
        <v>113</v>
      </c>
      <c r="H38" s="77"/>
      <c r="I38" s="72" t="s">
        <v>301</v>
      </c>
      <c r="J38" s="48" t="s">
        <v>118</v>
      </c>
      <c r="K38" s="48" t="s">
        <v>120</v>
      </c>
      <c r="L38" s="83"/>
      <c r="M38" s="81" t="s">
        <v>73</v>
      </c>
      <c r="N38" s="83"/>
    </row>
    <row r="39" ht="22.5" customHeight="1">
      <c r="A39" s="66">
        <v>313.0</v>
      </c>
      <c r="B39" s="50" t="s">
        <v>245</v>
      </c>
      <c r="C39" s="98">
        <v>45888.0</v>
      </c>
      <c r="D39" s="48">
        <v>4.0</v>
      </c>
      <c r="E39" s="50" t="s">
        <v>246</v>
      </c>
      <c r="F39" s="57">
        <v>89.0</v>
      </c>
      <c r="G39" s="50" t="s">
        <v>66</v>
      </c>
      <c r="H39" s="77"/>
      <c r="I39" s="72" t="s">
        <v>69</v>
      </c>
      <c r="J39" s="48" t="s">
        <v>118</v>
      </c>
      <c r="K39" s="48" t="s">
        <v>120</v>
      </c>
      <c r="L39" s="77"/>
      <c r="M39" s="48" t="s">
        <v>73</v>
      </c>
      <c r="N39" s="74"/>
    </row>
    <row r="40" ht="22.5" customHeight="1">
      <c r="A40" s="66">
        <v>314.0</v>
      </c>
      <c r="B40" s="50" t="s">
        <v>247</v>
      </c>
      <c r="C40" s="46">
        <v>45194.0</v>
      </c>
      <c r="D40" s="48">
        <v>2.0</v>
      </c>
      <c r="E40" s="50" t="s">
        <v>248</v>
      </c>
      <c r="F40" s="73">
        <v>93.0</v>
      </c>
      <c r="G40" s="88" t="s">
        <v>66</v>
      </c>
      <c r="H40" s="81" t="s">
        <v>133</v>
      </c>
      <c r="I40" s="89"/>
      <c r="J40" s="48" t="s">
        <v>118</v>
      </c>
      <c r="K40" s="81" t="s">
        <v>120</v>
      </c>
      <c r="L40" s="83"/>
      <c r="M40" s="81" t="s">
        <v>73</v>
      </c>
      <c r="N40" s="74"/>
    </row>
    <row r="41" ht="22.5" customHeight="1">
      <c r="A41" s="66">
        <v>315.0</v>
      </c>
      <c r="B41" s="50" t="s">
        <v>249</v>
      </c>
      <c r="C41" s="67">
        <v>45602.0</v>
      </c>
      <c r="D41" s="48">
        <v>3.0</v>
      </c>
      <c r="E41" s="50" t="s">
        <v>250</v>
      </c>
      <c r="F41" s="73">
        <v>94.0</v>
      </c>
      <c r="G41" s="88" t="s">
        <v>113</v>
      </c>
      <c r="H41" s="81" t="s">
        <v>133</v>
      </c>
      <c r="I41" s="89" t="s">
        <v>271</v>
      </c>
      <c r="J41" s="48" t="s">
        <v>118</v>
      </c>
      <c r="K41" s="81" t="s">
        <v>120</v>
      </c>
      <c r="L41" s="83"/>
      <c r="M41" s="81" t="s">
        <v>156</v>
      </c>
      <c r="N41" s="74"/>
    </row>
    <row r="42" ht="22.5" customHeight="1">
      <c r="A42" s="66">
        <v>316.0</v>
      </c>
      <c r="B42" s="50" t="s">
        <v>251</v>
      </c>
      <c r="C42" s="67">
        <v>44231.0</v>
      </c>
      <c r="D42" s="48">
        <v>2.0</v>
      </c>
      <c r="E42" s="50" t="s">
        <v>252</v>
      </c>
      <c r="F42" s="73">
        <v>96.0</v>
      </c>
      <c r="G42" s="88" t="s">
        <v>113</v>
      </c>
      <c r="H42" s="83"/>
      <c r="I42" s="89" t="s">
        <v>155</v>
      </c>
      <c r="J42" s="48" t="s">
        <v>144</v>
      </c>
      <c r="K42" s="81" t="s">
        <v>135</v>
      </c>
      <c r="L42" s="83"/>
      <c r="M42" s="81" t="s">
        <v>73</v>
      </c>
      <c r="N42" s="74"/>
    </row>
    <row r="43" ht="22.5" customHeight="1">
      <c r="A43" s="66">
        <v>317.0</v>
      </c>
      <c r="B43" s="50" t="s">
        <v>253</v>
      </c>
      <c r="C43" s="67">
        <v>45397.0</v>
      </c>
      <c r="D43" s="48">
        <v>1.0</v>
      </c>
      <c r="E43" s="50" t="s">
        <v>254</v>
      </c>
      <c r="F43" s="73">
        <v>97.0</v>
      </c>
      <c r="G43" s="88" t="s">
        <v>113</v>
      </c>
      <c r="H43" s="83"/>
      <c r="I43" s="89" t="s">
        <v>69</v>
      </c>
      <c r="J43" s="48" t="s">
        <v>118</v>
      </c>
      <c r="K43" s="81" t="s">
        <v>120</v>
      </c>
      <c r="L43" s="83"/>
      <c r="M43" s="81" t="s">
        <v>73</v>
      </c>
      <c r="N43" s="74"/>
    </row>
    <row r="44" ht="22.5" customHeight="1">
      <c r="A44" s="66">
        <v>318.0</v>
      </c>
      <c r="B44" s="50" t="s">
        <v>255</v>
      </c>
      <c r="C44" s="67">
        <v>43296.0</v>
      </c>
      <c r="D44" s="48">
        <v>2.0</v>
      </c>
      <c r="E44" s="50" t="s">
        <v>256</v>
      </c>
      <c r="F44" s="73">
        <v>85.0</v>
      </c>
      <c r="G44" s="88" t="s">
        <v>165</v>
      </c>
      <c r="H44" s="83"/>
      <c r="I44" s="89" t="s">
        <v>155</v>
      </c>
      <c r="J44" s="81" t="s">
        <v>118</v>
      </c>
      <c r="K44" s="81" t="s">
        <v>120</v>
      </c>
      <c r="L44" s="83"/>
      <c r="M44" s="81" t="s">
        <v>73</v>
      </c>
      <c r="N44" s="83"/>
    </row>
    <row r="45" ht="22.5" customHeight="1">
      <c r="A45" s="66">
        <v>319.0</v>
      </c>
      <c r="B45" s="50" t="s">
        <v>257</v>
      </c>
      <c r="C45" s="67">
        <v>44653.0</v>
      </c>
      <c r="D45" s="48">
        <v>4.0</v>
      </c>
      <c r="E45" s="50" t="s">
        <v>258</v>
      </c>
      <c r="F45" s="73">
        <v>87.0</v>
      </c>
      <c r="G45" s="88" t="s">
        <v>275</v>
      </c>
      <c r="H45" s="81" t="s">
        <v>133</v>
      </c>
      <c r="I45" s="89" t="s">
        <v>278</v>
      </c>
      <c r="J45" s="81" t="s">
        <v>144</v>
      </c>
      <c r="K45" s="81" t="s">
        <v>146</v>
      </c>
      <c r="L45" s="83"/>
      <c r="M45" s="81" t="s">
        <v>156</v>
      </c>
      <c r="N45" s="83"/>
    </row>
    <row r="46" ht="22.5" customHeight="1">
      <c r="A46" s="66">
        <v>320.0</v>
      </c>
      <c r="B46" s="43" t="s">
        <v>216</v>
      </c>
      <c r="C46" s="67">
        <v>45547.0</v>
      </c>
      <c r="D46" s="48">
        <v>3.0</v>
      </c>
      <c r="E46" s="50" t="s">
        <v>259</v>
      </c>
      <c r="F46" s="73">
        <v>93.0</v>
      </c>
      <c r="G46" s="88" t="s">
        <v>113</v>
      </c>
      <c r="H46" s="81" t="s">
        <v>133</v>
      </c>
      <c r="I46" s="89" t="s">
        <v>69</v>
      </c>
      <c r="J46" s="48" t="s">
        <v>118</v>
      </c>
      <c r="K46" s="81" t="s">
        <v>120</v>
      </c>
      <c r="L46" s="83"/>
      <c r="M46" s="81" t="s">
        <v>73</v>
      </c>
      <c r="N46" s="74"/>
    </row>
    <row r="47" ht="22.5" customHeight="1">
      <c r="A47" s="66">
        <v>321.0</v>
      </c>
      <c r="C47" s="67"/>
      <c r="D47" s="74"/>
      <c r="E47" s="108"/>
      <c r="F47" s="57"/>
      <c r="G47" s="80"/>
      <c r="H47" s="77"/>
      <c r="I47" s="72"/>
      <c r="J47" s="74"/>
      <c r="K47" s="74"/>
      <c r="L47" s="77"/>
      <c r="M47" s="48" t="s">
        <v>73</v>
      </c>
      <c r="N47" s="74"/>
    </row>
    <row r="48" ht="22.5" customHeight="1">
      <c r="A48" s="66">
        <v>322.0</v>
      </c>
      <c r="B48" s="50" t="s">
        <v>261</v>
      </c>
      <c r="C48" s="98">
        <v>45621.0</v>
      </c>
      <c r="D48" s="48">
        <v>2.0</v>
      </c>
      <c r="E48" s="50" t="s">
        <v>262</v>
      </c>
      <c r="F48" s="73">
        <v>85.0</v>
      </c>
      <c r="G48" s="88" t="s">
        <v>326</v>
      </c>
      <c r="H48" s="81" t="s">
        <v>237</v>
      </c>
      <c r="I48" s="89" t="s">
        <v>155</v>
      </c>
      <c r="J48" s="48" t="s">
        <v>118</v>
      </c>
      <c r="K48" s="81" t="s">
        <v>135</v>
      </c>
      <c r="L48" s="83"/>
      <c r="M48" s="81" t="s">
        <v>73</v>
      </c>
      <c r="N48" s="74"/>
    </row>
    <row r="49" ht="22.5" customHeight="1">
      <c r="A49" s="66">
        <v>323.0</v>
      </c>
      <c r="B49" s="50" t="s">
        <v>263</v>
      </c>
      <c r="C49" s="67">
        <v>43436.0</v>
      </c>
      <c r="D49" s="48">
        <v>5.0</v>
      </c>
      <c r="E49" s="50" t="s">
        <v>266</v>
      </c>
      <c r="F49" s="57">
        <v>96.0</v>
      </c>
      <c r="G49" s="50" t="s">
        <v>113</v>
      </c>
      <c r="H49" s="48" t="s">
        <v>133</v>
      </c>
      <c r="I49" s="72" t="s">
        <v>278</v>
      </c>
      <c r="J49" s="48" t="s">
        <v>223</v>
      </c>
      <c r="K49" s="48" t="s">
        <v>135</v>
      </c>
      <c r="L49" s="77"/>
      <c r="M49" s="48" t="s">
        <v>73</v>
      </c>
      <c r="N49" s="77"/>
    </row>
    <row r="50" ht="22.5" customHeight="1">
      <c r="A50" s="66">
        <v>324.0</v>
      </c>
      <c r="B50" s="50" t="s">
        <v>268</v>
      </c>
      <c r="C50" s="67">
        <v>45413.0</v>
      </c>
      <c r="D50" s="48">
        <v>2.0</v>
      </c>
      <c r="E50" s="50" t="s">
        <v>269</v>
      </c>
      <c r="F50" s="73">
        <v>85.0</v>
      </c>
      <c r="G50" s="88" t="s">
        <v>165</v>
      </c>
      <c r="H50" s="83"/>
      <c r="I50" s="89" t="s">
        <v>327</v>
      </c>
      <c r="J50" s="48" t="s">
        <v>223</v>
      </c>
      <c r="K50" s="81" t="s">
        <v>120</v>
      </c>
      <c r="L50" s="83"/>
      <c r="M50" s="81" t="s">
        <v>73</v>
      </c>
      <c r="N50" s="74"/>
    </row>
    <row r="51" ht="22.5" customHeight="1">
      <c r="A51" s="66">
        <v>325.0</v>
      </c>
      <c r="B51" s="50" t="s">
        <v>272</v>
      </c>
      <c r="C51" s="46">
        <v>45992.0</v>
      </c>
      <c r="D51" s="48">
        <v>2.0</v>
      </c>
      <c r="E51" s="50" t="s">
        <v>273</v>
      </c>
      <c r="F51" s="57">
        <v>92.0</v>
      </c>
      <c r="G51" s="50" t="s">
        <v>113</v>
      </c>
      <c r="H51" s="77"/>
      <c r="I51" s="72"/>
      <c r="J51" s="48" t="s">
        <v>118</v>
      </c>
      <c r="K51" s="48" t="s">
        <v>135</v>
      </c>
      <c r="L51" s="77"/>
      <c r="M51" s="48" t="s">
        <v>73</v>
      </c>
      <c r="N51" s="77"/>
    </row>
    <row r="52" ht="22.5" customHeight="1">
      <c r="A52" s="120" t="s">
        <v>330</v>
      </c>
      <c r="B52" s="121">
        <f>COUNTA(B2:B51)</f>
        <v>49</v>
      </c>
      <c r="C52" s="120" t="s">
        <v>331</v>
      </c>
      <c r="D52" s="121">
        <f>SUM(表_1[介護度])</f>
        <v>126</v>
      </c>
      <c r="E52" s="120" t="s">
        <v>332</v>
      </c>
      <c r="F52" s="121">
        <f>SUM(表_1[年齢])</f>
        <v>4400</v>
      </c>
      <c r="G52" s="109"/>
      <c r="H52" s="109"/>
      <c r="I52" s="109"/>
      <c r="J52" s="109"/>
      <c r="K52" s="109"/>
      <c r="L52" s="109"/>
      <c r="M52" s="109"/>
      <c r="N52" s="109"/>
    </row>
    <row r="53">
      <c r="A53" s="97"/>
      <c r="C53" s="122" t="s">
        <v>333</v>
      </c>
      <c r="D53" s="123">
        <f>D52/B52</f>
        <v>2.571428571</v>
      </c>
      <c r="E53" s="122" t="s">
        <v>334</v>
      </c>
      <c r="F53" s="86">
        <f>F52/B52</f>
        <v>89.79591837</v>
      </c>
    </row>
    <row r="54">
      <c r="A54" s="97"/>
      <c r="C54" s="124" t="s">
        <v>335</v>
      </c>
      <c r="D54" s="124">
        <v>21.0</v>
      </c>
    </row>
    <row r="55">
      <c r="C55" s="124" t="s">
        <v>336</v>
      </c>
      <c r="D55" s="124">
        <v>5.0</v>
      </c>
    </row>
    <row r="56">
      <c r="C56" s="124" t="s">
        <v>337</v>
      </c>
      <c r="D56" s="124">
        <v>18.0</v>
      </c>
      <c r="E56" s="78" t="s">
        <v>338</v>
      </c>
    </row>
    <row r="57">
      <c r="C57" s="124" t="s">
        <v>339</v>
      </c>
      <c r="D57" s="124">
        <v>6.0</v>
      </c>
    </row>
    <row r="58">
      <c r="C58" s="124" t="s">
        <v>340</v>
      </c>
      <c r="D58" s="124">
        <v>0.0</v>
      </c>
    </row>
    <row r="59">
      <c r="C59" s="127" t="s">
        <v>341</v>
      </c>
      <c r="D59" s="129">
        <f>SUM(D54:D58)</f>
        <v>50</v>
      </c>
    </row>
    <row r="60">
      <c r="A60" s="97"/>
    </row>
    <row r="61">
      <c r="B61" s="78" t="s">
        <v>344</v>
      </c>
      <c r="J61" s="78"/>
      <c r="K61" s="130"/>
      <c r="L61" s="130"/>
      <c r="M61" s="130">
        <v>45875.0</v>
      </c>
      <c r="N61" s="95" t="s">
        <v>346</v>
      </c>
    </row>
    <row r="62">
      <c r="B62" s="78" t="s">
        <v>347</v>
      </c>
      <c r="J62" s="78"/>
      <c r="K62" s="130"/>
      <c r="L62" s="130"/>
      <c r="M62" s="130">
        <v>45891.0</v>
      </c>
      <c r="N62" s="91" t="s">
        <v>348</v>
      </c>
    </row>
    <row r="63">
      <c r="B63" s="78" t="s">
        <v>349</v>
      </c>
      <c r="J63" s="78"/>
      <c r="K63" s="130"/>
      <c r="L63" s="130"/>
      <c r="M63" s="130">
        <v>45897.0</v>
      </c>
      <c r="N63" s="95" t="s">
        <v>346</v>
      </c>
    </row>
    <row r="64">
      <c r="B64" s="78" t="s">
        <v>350</v>
      </c>
      <c r="J64" s="78"/>
      <c r="K64" s="130"/>
      <c r="L64" s="130"/>
      <c r="M64" s="130">
        <v>45900.0</v>
      </c>
      <c r="N64" s="95" t="s">
        <v>346</v>
      </c>
    </row>
    <row r="65">
      <c r="A65" s="97"/>
      <c r="B65" s="78" t="s">
        <v>352</v>
      </c>
      <c r="J65" s="78"/>
      <c r="K65" s="130"/>
      <c r="L65" s="130"/>
      <c r="M65" s="130">
        <v>45918.0</v>
      </c>
      <c r="N65" s="95" t="s">
        <v>346</v>
      </c>
    </row>
    <row r="66">
      <c r="A66" s="97"/>
      <c r="B66" s="78" t="s">
        <v>354</v>
      </c>
      <c r="J66" s="78"/>
      <c r="K66" s="130"/>
      <c r="L66" s="130"/>
      <c r="M66" s="130">
        <v>45930.0</v>
      </c>
      <c r="N66" s="92" t="s">
        <v>355</v>
      </c>
    </row>
    <row r="67">
      <c r="A67" s="97"/>
      <c r="B67" s="78" t="s">
        <v>357</v>
      </c>
      <c r="J67" s="78"/>
      <c r="K67" s="130"/>
      <c r="L67" s="130"/>
      <c r="M67" s="130">
        <v>45932.0</v>
      </c>
      <c r="N67" s="91" t="s">
        <v>348</v>
      </c>
    </row>
    <row r="68">
      <c r="A68" s="97"/>
      <c r="B68" s="78" t="s">
        <v>359</v>
      </c>
      <c r="J68" s="78"/>
      <c r="K68" s="130"/>
      <c r="L68" s="130"/>
      <c r="M68" s="130">
        <v>45939.0</v>
      </c>
      <c r="N68" s="95" t="s">
        <v>346</v>
      </c>
    </row>
    <row r="69">
      <c r="A69" s="97"/>
      <c r="B69" s="78" t="s">
        <v>361</v>
      </c>
      <c r="J69" s="78"/>
      <c r="K69" s="130"/>
      <c r="L69" s="130"/>
      <c r="M69" s="130">
        <v>45942.0</v>
      </c>
      <c r="N69" s="95" t="s">
        <v>346</v>
      </c>
    </row>
    <row r="70">
      <c r="A70" s="97"/>
      <c r="B70" s="78" t="s">
        <v>363</v>
      </c>
      <c r="J70" s="78"/>
      <c r="K70" s="130"/>
      <c r="L70" s="130"/>
      <c r="M70" s="130">
        <v>45953.0</v>
      </c>
      <c r="N70" s="91" t="s">
        <v>348</v>
      </c>
    </row>
    <row r="71">
      <c r="A71" s="97"/>
      <c r="B71" s="78" t="s">
        <v>365</v>
      </c>
      <c r="J71" s="78"/>
      <c r="K71" s="130"/>
      <c r="L71" s="130"/>
      <c r="M71" s="130">
        <v>45985.0</v>
      </c>
      <c r="N71" s="91" t="s">
        <v>348</v>
      </c>
    </row>
    <row r="72">
      <c r="A72" s="97"/>
      <c r="B72" s="78" t="s">
        <v>366</v>
      </c>
      <c r="J72" s="78"/>
      <c r="K72" s="130"/>
      <c r="L72" s="130"/>
      <c r="M72" s="130">
        <v>45987.0</v>
      </c>
      <c r="N72" s="91" t="s">
        <v>348</v>
      </c>
    </row>
    <row r="73">
      <c r="A73" s="97"/>
      <c r="B73" s="78" t="s">
        <v>368</v>
      </c>
      <c r="J73" s="78"/>
      <c r="K73" s="130"/>
      <c r="L73" s="130"/>
      <c r="M73" s="130">
        <v>46005.0</v>
      </c>
      <c r="N73" s="92" t="s">
        <v>369</v>
      </c>
    </row>
    <row r="74">
      <c r="A74" s="97"/>
      <c r="B74" s="78" t="s">
        <v>371</v>
      </c>
      <c r="J74" s="78"/>
      <c r="K74" s="130"/>
      <c r="L74" s="130"/>
      <c r="M74" s="130">
        <v>45688.0</v>
      </c>
      <c r="N74" s="95" t="s">
        <v>346</v>
      </c>
      <c r="P74" s="140"/>
    </row>
    <row r="75">
      <c r="A75" s="136">
        <v>304.0</v>
      </c>
      <c r="B75" s="110" t="s">
        <v>367</v>
      </c>
      <c r="C75" s="138">
        <v>45154.0</v>
      </c>
      <c r="D75" s="78">
        <v>4.0</v>
      </c>
      <c r="E75" s="110" t="s">
        <v>370</v>
      </c>
      <c r="F75" s="136">
        <v>97.0</v>
      </c>
      <c r="G75" s="137"/>
      <c r="H75" s="137"/>
      <c r="I75" s="137"/>
      <c r="J75" s="78"/>
      <c r="K75" s="138"/>
      <c r="L75" s="138"/>
      <c r="M75" s="138">
        <v>45698.0</v>
      </c>
      <c r="N75" s="95" t="s">
        <v>346</v>
      </c>
      <c r="P75" s="141"/>
    </row>
    <row r="76">
      <c r="A76" s="97"/>
      <c r="B76" s="78" t="s">
        <v>376</v>
      </c>
      <c r="J76" s="78"/>
      <c r="K76" s="130"/>
      <c r="L76" s="130"/>
      <c r="M76" s="130">
        <v>45709.0</v>
      </c>
      <c r="N76" s="95" t="s">
        <v>346</v>
      </c>
      <c r="P76" s="140"/>
    </row>
    <row r="77">
      <c r="A77" s="97"/>
      <c r="B77" s="78" t="s">
        <v>379</v>
      </c>
      <c r="J77" s="78"/>
      <c r="K77" s="130"/>
      <c r="L77" s="130"/>
      <c r="M77" s="130">
        <v>45714.0</v>
      </c>
      <c r="N77" s="95" t="s">
        <v>346</v>
      </c>
      <c r="O77" s="143" t="s">
        <v>380</v>
      </c>
      <c r="P77" s="144"/>
    </row>
    <row r="78">
      <c r="A78" s="97"/>
      <c r="B78" s="78" t="s">
        <v>382</v>
      </c>
      <c r="J78" s="78"/>
      <c r="K78" s="130"/>
      <c r="L78" s="130"/>
      <c r="M78" s="130">
        <v>45726.0</v>
      </c>
      <c r="N78" s="93" t="s">
        <v>384</v>
      </c>
    </row>
    <row r="79">
      <c r="A79" s="125">
        <v>301.0</v>
      </c>
      <c r="B79" s="90" t="s">
        <v>342</v>
      </c>
      <c r="C79" s="126">
        <v>45310.0</v>
      </c>
      <c r="D79" s="90">
        <v>1.0</v>
      </c>
      <c r="E79" s="90" t="s">
        <v>343</v>
      </c>
      <c r="F79" s="128">
        <v>92.0</v>
      </c>
      <c r="G79" s="131" t="s">
        <v>345</v>
      </c>
      <c r="H79" s="132"/>
      <c r="I79" s="132"/>
      <c r="J79" s="78"/>
      <c r="K79" s="133"/>
      <c r="L79" s="133"/>
      <c r="M79" s="133">
        <v>45729.0</v>
      </c>
      <c r="N79" s="95" t="s">
        <v>346</v>
      </c>
      <c r="O79" s="140"/>
      <c r="P79" s="145"/>
    </row>
    <row r="80">
      <c r="A80" s="107">
        <v>310.0</v>
      </c>
      <c r="B80" s="78" t="s">
        <v>351</v>
      </c>
      <c r="C80" s="134">
        <v>45237.0</v>
      </c>
      <c r="D80" s="78">
        <v>4.0</v>
      </c>
      <c r="E80" s="78" t="s">
        <v>353</v>
      </c>
      <c r="F80" s="135">
        <v>91.0</v>
      </c>
      <c r="G80" s="110" t="s">
        <v>356</v>
      </c>
      <c r="H80" s="132"/>
      <c r="I80" s="132"/>
      <c r="J80" s="78"/>
      <c r="K80" s="133"/>
      <c r="L80" s="133"/>
      <c r="M80" s="133">
        <v>45735.0</v>
      </c>
      <c r="N80" s="92" t="s">
        <v>389</v>
      </c>
      <c r="O80" s="141"/>
      <c r="P80" s="140"/>
    </row>
    <row r="81">
      <c r="A81" s="107">
        <v>202.0</v>
      </c>
      <c r="B81" s="78" t="s">
        <v>358</v>
      </c>
      <c r="C81" s="134">
        <v>45419.0</v>
      </c>
      <c r="D81" s="78">
        <v>2.0</v>
      </c>
      <c r="E81" s="78" t="s">
        <v>360</v>
      </c>
      <c r="F81" s="135">
        <v>98.0</v>
      </c>
      <c r="G81" s="110" t="s">
        <v>362</v>
      </c>
      <c r="H81" s="132"/>
      <c r="I81" s="132"/>
      <c r="J81" s="78"/>
      <c r="K81" s="133"/>
      <c r="L81" s="133"/>
      <c r="M81" s="133">
        <v>45734.0</v>
      </c>
      <c r="N81" s="95" t="s">
        <v>346</v>
      </c>
      <c r="O81" s="140"/>
      <c r="P81" s="145"/>
    </row>
    <row r="82">
      <c r="A82" s="136">
        <v>215.0</v>
      </c>
      <c r="B82" s="110" t="s">
        <v>364</v>
      </c>
      <c r="C82" s="137"/>
      <c r="D82" s="137"/>
      <c r="E82" s="137"/>
      <c r="F82" s="135"/>
      <c r="G82" s="137"/>
      <c r="H82" s="137"/>
      <c r="I82" s="137"/>
      <c r="J82" s="78"/>
      <c r="K82" s="133"/>
      <c r="L82" s="133"/>
      <c r="M82" s="133">
        <v>45719.0</v>
      </c>
      <c r="N82" s="93" t="s">
        <v>384</v>
      </c>
      <c r="O82" s="144"/>
      <c r="P82" s="141"/>
    </row>
    <row r="83">
      <c r="A83" s="107">
        <v>213.0</v>
      </c>
      <c r="B83" s="78" t="s">
        <v>372</v>
      </c>
      <c r="C83" s="139">
        <v>45622.0</v>
      </c>
      <c r="D83" s="78">
        <v>1.0</v>
      </c>
      <c r="E83" s="78" t="s">
        <v>373</v>
      </c>
      <c r="F83" s="136">
        <v>92.0</v>
      </c>
      <c r="G83" s="110" t="s">
        <v>362</v>
      </c>
      <c r="H83" s="132"/>
      <c r="I83" s="132"/>
      <c r="J83" s="78"/>
      <c r="K83" s="138"/>
      <c r="L83" s="138"/>
      <c r="M83" s="138">
        <v>45769.0</v>
      </c>
      <c r="N83" s="91" t="s">
        <v>348</v>
      </c>
      <c r="O83" s="143"/>
      <c r="P83" s="140"/>
    </row>
    <row r="84">
      <c r="A84" s="107">
        <v>314.0</v>
      </c>
      <c r="B84" s="78" t="s">
        <v>374</v>
      </c>
      <c r="C84" s="134">
        <v>45440.0</v>
      </c>
      <c r="D84" s="78">
        <v>3.0</v>
      </c>
      <c r="E84" s="78" t="s">
        <v>375</v>
      </c>
      <c r="F84" s="135">
        <v>94.0</v>
      </c>
      <c r="G84" s="110" t="s">
        <v>113</v>
      </c>
      <c r="H84" s="132"/>
      <c r="I84" s="132"/>
      <c r="J84" s="78"/>
      <c r="K84" s="130"/>
      <c r="L84" s="130"/>
      <c r="M84" s="130">
        <v>45792.0</v>
      </c>
      <c r="N84" s="91" t="s">
        <v>348</v>
      </c>
      <c r="O84" s="145"/>
      <c r="P84" s="140"/>
    </row>
    <row r="85">
      <c r="A85" s="125">
        <v>301.0</v>
      </c>
      <c r="B85" s="90" t="s">
        <v>377</v>
      </c>
      <c r="C85" s="126">
        <v>45790.0</v>
      </c>
      <c r="D85" s="90">
        <v>2.0</v>
      </c>
      <c r="E85" s="90" t="s">
        <v>378</v>
      </c>
      <c r="F85" s="128">
        <v>92.0</v>
      </c>
      <c r="G85" s="142" t="s">
        <v>113</v>
      </c>
      <c r="H85" s="132"/>
      <c r="I85" s="132"/>
      <c r="J85" s="78"/>
      <c r="K85" s="130"/>
      <c r="L85" s="130"/>
      <c r="M85" s="130">
        <v>45801.0</v>
      </c>
      <c r="N85" s="95" t="s">
        <v>346</v>
      </c>
      <c r="O85" s="140"/>
      <c r="P85" s="140"/>
    </row>
    <row r="86">
      <c r="A86" s="107">
        <v>217.0</v>
      </c>
      <c r="B86" s="78" t="s">
        <v>381</v>
      </c>
      <c r="C86" s="134">
        <v>45663.0</v>
      </c>
      <c r="D86" s="78">
        <v>1.0</v>
      </c>
      <c r="E86" s="78" t="s">
        <v>383</v>
      </c>
      <c r="F86" s="136">
        <v>84.0</v>
      </c>
      <c r="G86" s="110" t="s">
        <v>113</v>
      </c>
      <c r="H86" s="132"/>
      <c r="I86" s="132"/>
      <c r="J86" s="78"/>
      <c r="K86" s="130"/>
      <c r="L86" s="130"/>
      <c r="M86" s="130">
        <v>45805.0</v>
      </c>
      <c r="N86" s="91" t="s">
        <v>348</v>
      </c>
      <c r="O86" s="145"/>
      <c r="P86" s="140"/>
    </row>
    <row r="87">
      <c r="A87" s="107">
        <v>313.0</v>
      </c>
      <c r="B87" s="78" t="s">
        <v>385</v>
      </c>
      <c r="C87" s="139">
        <v>45077.0</v>
      </c>
      <c r="D87" s="78">
        <v>3.0</v>
      </c>
      <c r="E87" s="78" t="s">
        <v>386</v>
      </c>
      <c r="F87" s="135">
        <v>85.0</v>
      </c>
      <c r="G87" s="110" t="s">
        <v>113</v>
      </c>
      <c r="H87" s="132"/>
      <c r="I87" s="132"/>
      <c r="J87" s="78"/>
      <c r="K87" s="130"/>
      <c r="L87" s="130"/>
      <c r="M87" s="130">
        <v>45822.0</v>
      </c>
      <c r="N87" s="92" t="s">
        <v>369</v>
      </c>
      <c r="O87" s="141"/>
    </row>
    <row r="88">
      <c r="A88" s="107">
        <v>221.0</v>
      </c>
      <c r="B88" s="78" t="s">
        <v>387</v>
      </c>
      <c r="C88" s="134">
        <v>43182.0</v>
      </c>
      <c r="D88" s="78">
        <v>5.0</v>
      </c>
      <c r="E88" s="78" t="s">
        <v>388</v>
      </c>
      <c r="F88" s="135">
        <v>95.0</v>
      </c>
      <c r="G88" s="110" t="s">
        <v>113</v>
      </c>
      <c r="H88" s="132"/>
      <c r="I88" s="132" t="s">
        <v>302</v>
      </c>
      <c r="J88" s="78"/>
      <c r="K88" s="130"/>
      <c r="L88" s="130"/>
      <c r="M88" s="130">
        <v>45824.0</v>
      </c>
      <c r="N88" s="95" t="s">
        <v>346</v>
      </c>
      <c r="O88" s="140"/>
    </row>
    <row r="89">
      <c r="A89" s="107">
        <v>325.0</v>
      </c>
      <c r="B89" s="78" t="s">
        <v>328</v>
      </c>
      <c r="C89" s="139">
        <v>41325.0</v>
      </c>
      <c r="D89" s="78">
        <v>4.0</v>
      </c>
      <c r="E89" s="78" t="s">
        <v>329</v>
      </c>
      <c r="F89" s="135">
        <v>95.0</v>
      </c>
      <c r="G89" s="110" t="s">
        <v>314</v>
      </c>
      <c r="H89" s="132"/>
      <c r="I89" s="132"/>
      <c r="J89" s="78"/>
      <c r="K89" s="130"/>
      <c r="L89" s="130"/>
      <c r="M89" s="130">
        <v>45852.0</v>
      </c>
      <c r="N89" s="95" t="s">
        <v>346</v>
      </c>
      <c r="O89" s="140"/>
    </row>
    <row r="90">
      <c r="A90" s="107">
        <v>321.0</v>
      </c>
      <c r="B90" s="78" t="s">
        <v>324</v>
      </c>
      <c r="C90" s="134">
        <v>45145.0</v>
      </c>
      <c r="D90" s="78">
        <v>3.0</v>
      </c>
      <c r="E90" s="78" t="s">
        <v>325</v>
      </c>
      <c r="F90" s="135">
        <v>89.0</v>
      </c>
      <c r="G90" s="110" t="s">
        <v>66</v>
      </c>
      <c r="J90" s="78"/>
      <c r="K90" s="130"/>
      <c r="L90" s="130"/>
      <c r="M90" s="130">
        <v>45872.0</v>
      </c>
      <c r="N90" s="95" t="s">
        <v>346</v>
      </c>
      <c r="O90" s="140"/>
    </row>
    <row r="91">
      <c r="A91" s="107">
        <v>303.0</v>
      </c>
      <c r="B91" s="78" t="s">
        <v>316</v>
      </c>
      <c r="C91" s="134">
        <v>45665.0</v>
      </c>
      <c r="D91" s="78">
        <v>3.0</v>
      </c>
      <c r="E91" s="78" t="s">
        <v>317</v>
      </c>
      <c r="F91" s="135">
        <v>89.0</v>
      </c>
      <c r="G91" s="110" t="s">
        <v>113</v>
      </c>
      <c r="H91" s="132"/>
      <c r="I91" s="132"/>
      <c r="J91" s="78"/>
      <c r="K91" s="130"/>
      <c r="L91" s="130"/>
      <c r="M91" s="130">
        <v>45888.0</v>
      </c>
      <c r="N91" s="95" t="s">
        <v>346</v>
      </c>
      <c r="O91" s="140"/>
    </row>
    <row r="92">
      <c r="A92" s="146">
        <v>225.0</v>
      </c>
      <c r="B92" s="147" t="s">
        <v>195</v>
      </c>
      <c r="C92" s="148">
        <v>44580.0</v>
      </c>
      <c r="D92" s="147">
        <v>4.0</v>
      </c>
      <c r="E92" s="147" t="s">
        <v>313</v>
      </c>
      <c r="F92" s="149">
        <v>98.0</v>
      </c>
      <c r="G92" s="147" t="s">
        <v>314</v>
      </c>
      <c r="H92" s="150"/>
      <c r="I92" s="147" t="s">
        <v>390</v>
      </c>
      <c r="J92" s="130"/>
      <c r="M92" s="130">
        <v>45959.0</v>
      </c>
      <c r="N92" s="92" t="s">
        <v>391</v>
      </c>
    </row>
    <row r="93">
      <c r="A93" s="107">
        <v>217.0</v>
      </c>
      <c r="B93" s="78" t="s">
        <v>186</v>
      </c>
      <c r="C93" s="134">
        <v>45827.0</v>
      </c>
      <c r="D93" s="78">
        <v>2.0</v>
      </c>
      <c r="E93" s="78" t="s">
        <v>306</v>
      </c>
      <c r="F93" s="107">
        <v>86.0</v>
      </c>
      <c r="G93" s="78" t="s">
        <v>113</v>
      </c>
      <c r="H93" s="151"/>
      <c r="I93" s="151"/>
      <c r="J93" s="130"/>
      <c r="L93" s="151"/>
      <c r="M93" s="130">
        <v>45970.0</v>
      </c>
      <c r="N93" s="95" t="s">
        <v>346</v>
      </c>
    </row>
    <row r="94">
      <c r="A94" s="152">
        <v>325.0</v>
      </c>
      <c r="B94" s="153" t="s">
        <v>222</v>
      </c>
      <c r="C94" s="154">
        <v>45891.0</v>
      </c>
      <c r="D94" s="153">
        <v>2.0</v>
      </c>
      <c r="E94" s="153" t="s">
        <v>392</v>
      </c>
      <c r="F94" s="155">
        <v>94.0</v>
      </c>
      <c r="G94" s="153" t="s">
        <v>113</v>
      </c>
      <c r="H94" s="156"/>
      <c r="I94" s="156"/>
      <c r="J94" s="130"/>
      <c r="M94" s="130">
        <v>45978.0</v>
      </c>
      <c r="N94" s="95" t="s">
        <v>346</v>
      </c>
    </row>
    <row r="95">
      <c r="A95" s="107">
        <v>204.0</v>
      </c>
      <c r="B95" s="78" t="s">
        <v>173</v>
      </c>
      <c r="C95" s="134">
        <v>43474.0</v>
      </c>
      <c r="D95" s="78">
        <v>5.0</v>
      </c>
      <c r="E95" s="78" t="s">
        <v>277</v>
      </c>
      <c r="F95" s="135">
        <v>83.0</v>
      </c>
      <c r="G95" s="110" t="s">
        <v>113</v>
      </c>
      <c r="H95" s="132"/>
      <c r="I95" s="157"/>
      <c r="J95" s="130"/>
      <c r="M95" s="130">
        <v>45994.0</v>
      </c>
      <c r="N95" s="95" t="s">
        <v>346</v>
      </c>
    </row>
    <row r="96">
      <c r="A96" s="146">
        <v>306.0</v>
      </c>
      <c r="B96" s="147" t="s">
        <v>202</v>
      </c>
      <c r="C96" s="158">
        <v>45617.0</v>
      </c>
      <c r="D96" s="147">
        <v>3.0</v>
      </c>
      <c r="E96" s="147" t="s">
        <v>318</v>
      </c>
      <c r="F96" s="149">
        <v>89.0</v>
      </c>
      <c r="G96" s="147" t="s">
        <v>113</v>
      </c>
      <c r="H96" s="137"/>
      <c r="I96" s="159"/>
      <c r="J96" s="137"/>
      <c r="M96" s="130">
        <v>46095.0</v>
      </c>
      <c r="N96" s="92" t="s">
        <v>389</v>
      </c>
    </row>
    <row r="97">
      <c r="A97" s="107">
        <v>218.0</v>
      </c>
      <c r="B97" s="78" t="s">
        <v>187</v>
      </c>
      <c r="C97" s="134">
        <v>45414.0</v>
      </c>
      <c r="D97" s="78">
        <v>5.0</v>
      </c>
      <c r="E97" s="78" t="s">
        <v>307</v>
      </c>
      <c r="F97" s="136">
        <v>80.0</v>
      </c>
      <c r="G97" s="110" t="s">
        <v>165</v>
      </c>
      <c r="H97" s="132"/>
      <c r="M97" s="130">
        <v>46099.0</v>
      </c>
      <c r="N97" s="95" t="s">
        <v>346</v>
      </c>
    </row>
    <row r="98">
      <c r="A98" s="107">
        <v>201.0</v>
      </c>
      <c r="B98" s="78" t="s">
        <v>393</v>
      </c>
      <c r="C98" s="134">
        <v>45566.0</v>
      </c>
      <c r="D98" s="78">
        <v>4.0</v>
      </c>
      <c r="E98" s="78" t="s">
        <v>270</v>
      </c>
      <c r="F98" s="105">
        <v>99.0</v>
      </c>
      <c r="G98" s="78" t="s">
        <v>113</v>
      </c>
      <c r="H98" s="78" t="s">
        <v>133</v>
      </c>
      <c r="I98" s="151" t="s">
        <v>69</v>
      </c>
      <c r="J98" s="100"/>
      <c r="M98" s="130">
        <v>46138.0</v>
      </c>
      <c r="N98" s="95" t="s">
        <v>346</v>
      </c>
    </row>
    <row r="99">
      <c r="A99" s="136">
        <v>218.0</v>
      </c>
      <c r="B99" s="160" t="s">
        <v>394</v>
      </c>
      <c r="C99" s="137"/>
      <c r="D99" s="137"/>
      <c r="E99" s="137"/>
      <c r="F99" s="135"/>
      <c r="G99" s="137"/>
      <c r="H99" s="137"/>
      <c r="I99" s="137"/>
      <c r="J99" s="100"/>
      <c r="M99" s="130">
        <v>46143.0</v>
      </c>
      <c r="N99" s="95" t="s">
        <v>346</v>
      </c>
    </row>
    <row r="100">
      <c r="A100" s="107">
        <v>222.0</v>
      </c>
      <c r="B100" s="78" t="s">
        <v>395</v>
      </c>
      <c r="C100" s="134">
        <v>45373.0</v>
      </c>
      <c r="D100" s="78">
        <v>1.0</v>
      </c>
      <c r="E100" s="78" t="s">
        <v>311</v>
      </c>
      <c r="F100" s="135">
        <v>93.0</v>
      </c>
      <c r="G100" s="110" t="s">
        <v>113</v>
      </c>
      <c r="H100" s="132"/>
      <c r="I100" s="132" t="s">
        <v>69</v>
      </c>
      <c r="J100" s="100"/>
    </row>
    <row r="101">
      <c r="A101" s="107">
        <v>213.0</v>
      </c>
      <c r="B101" s="78" t="s">
        <v>396</v>
      </c>
      <c r="C101" s="161">
        <v>45792.0</v>
      </c>
      <c r="D101" s="78">
        <v>1.0</v>
      </c>
      <c r="E101" s="78" t="s">
        <v>274</v>
      </c>
      <c r="F101" s="135">
        <v>96.0</v>
      </c>
      <c r="G101" s="132" t="s">
        <v>66</v>
      </c>
      <c r="H101" s="132"/>
      <c r="I101" s="132" t="s">
        <v>69</v>
      </c>
      <c r="J101" s="100"/>
    </row>
    <row r="102">
      <c r="A102" s="107">
        <v>312.0</v>
      </c>
      <c r="B102" s="78" t="s">
        <v>397</v>
      </c>
      <c r="C102" s="161">
        <v>45758.0</v>
      </c>
      <c r="D102" s="78">
        <v>5.0</v>
      </c>
      <c r="E102" s="78" t="s">
        <v>320</v>
      </c>
      <c r="F102" s="135">
        <v>96.0</v>
      </c>
      <c r="G102" s="110" t="s">
        <v>308</v>
      </c>
      <c r="H102" s="162"/>
      <c r="I102" s="162"/>
      <c r="J102" s="100"/>
    </row>
    <row r="112">
      <c r="A112" s="97"/>
    </row>
    <row r="113">
      <c r="A113" s="97"/>
    </row>
    <row r="114">
      <c r="A114" s="97"/>
    </row>
    <row r="115">
      <c r="A115" s="97"/>
    </row>
    <row r="116">
      <c r="A116" s="97"/>
    </row>
    <row r="117">
      <c r="A117" s="97"/>
    </row>
    <row r="118">
      <c r="A118" s="97"/>
    </row>
    <row r="119">
      <c r="A119" s="97"/>
    </row>
    <row r="120">
      <c r="A120" s="97"/>
    </row>
    <row r="121">
      <c r="A121" s="97"/>
    </row>
    <row r="122">
      <c r="A122" s="97"/>
    </row>
    <row r="123">
      <c r="A123" s="97"/>
    </row>
    <row r="124">
      <c r="A124" s="97"/>
    </row>
    <row r="125">
      <c r="A125" s="97"/>
    </row>
    <row r="126">
      <c r="A126" s="97"/>
    </row>
    <row r="127">
      <c r="A127" s="97"/>
    </row>
    <row r="128">
      <c r="A128" s="97"/>
    </row>
    <row r="129">
      <c r="A129" s="97"/>
    </row>
    <row r="130">
      <c r="A130" s="97"/>
    </row>
    <row r="131">
      <c r="A131" s="97"/>
    </row>
    <row r="132">
      <c r="A132" s="97"/>
    </row>
    <row r="133">
      <c r="A133" s="97"/>
    </row>
    <row r="134">
      <c r="A134" s="97"/>
    </row>
    <row r="135">
      <c r="A135" s="97"/>
    </row>
    <row r="136">
      <c r="A136" s="97"/>
    </row>
    <row r="137">
      <c r="A137" s="97"/>
    </row>
    <row r="138">
      <c r="A138" s="97"/>
    </row>
    <row r="139">
      <c r="A139" s="97"/>
    </row>
    <row r="140">
      <c r="A140" s="97"/>
    </row>
    <row r="141">
      <c r="A141" s="97"/>
    </row>
    <row r="142">
      <c r="A142" s="97"/>
    </row>
    <row r="143">
      <c r="A143" s="97"/>
    </row>
    <row r="144">
      <c r="A144" s="97"/>
    </row>
    <row r="145">
      <c r="A145" s="97"/>
    </row>
    <row r="146">
      <c r="A146" s="97"/>
    </row>
    <row r="147">
      <c r="A147" s="97"/>
    </row>
    <row r="148">
      <c r="A148" s="97"/>
    </row>
    <row r="149">
      <c r="A149" s="97"/>
    </row>
    <row r="150">
      <c r="A150" s="97"/>
    </row>
    <row r="151">
      <c r="A151" s="97"/>
    </row>
    <row r="152">
      <c r="A152" s="97"/>
    </row>
    <row r="153">
      <c r="A153" s="97"/>
    </row>
    <row r="154">
      <c r="A154" s="97"/>
    </row>
    <row r="155">
      <c r="A155" s="97"/>
    </row>
    <row r="156">
      <c r="A156" s="97"/>
    </row>
    <row r="157">
      <c r="A157" s="97"/>
    </row>
    <row r="158">
      <c r="A158" s="97"/>
    </row>
    <row r="159">
      <c r="A159" s="97"/>
    </row>
    <row r="160">
      <c r="A160" s="97"/>
    </row>
    <row r="161">
      <c r="A161" s="97"/>
    </row>
    <row r="162">
      <c r="A162" s="97"/>
    </row>
    <row r="163">
      <c r="A163" s="97"/>
    </row>
    <row r="164">
      <c r="A164" s="97"/>
    </row>
    <row r="165">
      <c r="A165" s="97"/>
    </row>
    <row r="166">
      <c r="A166" s="97"/>
    </row>
    <row r="167">
      <c r="A167" s="97"/>
    </row>
    <row r="168">
      <c r="A168" s="97"/>
    </row>
    <row r="169">
      <c r="A169" s="97"/>
    </row>
    <row r="170">
      <c r="A170" s="97"/>
    </row>
    <row r="171">
      <c r="A171" s="97"/>
    </row>
    <row r="172">
      <c r="A172" s="97"/>
    </row>
    <row r="173">
      <c r="A173" s="97"/>
    </row>
    <row r="174">
      <c r="A174" s="97"/>
    </row>
    <row r="175">
      <c r="A175" s="97"/>
    </row>
    <row r="176">
      <c r="A176" s="97"/>
    </row>
    <row r="177">
      <c r="A177" s="97"/>
    </row>
    <row r="178">
      <c r="A178" s="97"/>
    </row>
    <row r="179">
      <c r="A179" s="97"/>
    </row>
    <row r="180">
      <c r="A180" s="97"/>
    </row>
    <row r="181">
      <c r="A181" s="97"/>
    </row>
    <row r="182">
      <c r="A182" s="97"/>
    </row>
    <row r="183">
      <c r="A183" s="97"/>
    </row>
    <row r="184">
      <c r="A184" s="97"/>
    </row>
    <row r="185">
      <c r="A185" s="97"/>
    </row>
    <row r="186">
      <c r="A186" s="97"/>
    </row>
    <row r="187">
      <c r="A187" s="97"/>
    </row>
    <row r="188">
      <c r="A188" s="97"/>
    </row>
    <row r="189">
      <c r="A189" s="97"/>
    </row>
    <row r="190">
      <c r="A190" s="97"/>
    </row>
    <row r="191">
      <c r="A191" s="97"/>
    </row>
    <row r="192">
      <c r="A192" s="97"/>
    </row>
    <row r="193">
      <c r="A193" s="97"/>
    </row>
    <row r="194">
      <c r="A194" s="97"/>
    </row>
    <row r="195">
      <c r="A195" s="97"/>
    </row>
    <row r="196">
      <c r="A196" s="97"/>
    </row>
    <row r="197">
      <c r="A197" s="97"/>
    </row>
    <row r="198">
      <c r="A198" s="97"/>
    </row>
    <row r="199">
      <c r="A199" s="97"/>
    </row>
    <row r="200">
      <c r="A200" s="97"/>
    </row>
    <row r="201">
      <c r="A201" s="97"/>
    </row>
    <row r="202">
      <c r="A202" s="97"/>
    </row>
    <row r="203">
      <c r="A203" s="97"/>
    </row>
    <row r="204">
      <c r="A204" s="97"/>
    </row>
    <row r="205">
      <c r="A205" s="97"/>
    </row>
    <row r="206">
      <c r="A206" s="97"/>
    </row>
    <row r="207">
      <c r="A207" s="97"/>
    </row>
    <row r="208">
      <c r="A208" s="97"/>
    </row>
    <row r="209">
      <c r="A209" s="97"/>
    </row>
    <row r="210">
      <c r="A210" s="97"/>
    </row>
    <row r="211">
      <c r="A211" s="97"/>
    </row>
    <row r="212">
      <c r="A212" s="97"/>
    </row>
    <row r="213">
      <c r="A213" s="97"/>
    </row>
    <row r="214">
      <c r="A214" s="97"/>
    </row>
    <row r="215">
      <c r="A215" s="97"/>
    </row>
    <row r="216">
      <c r="A216" s="97"/>
    </row>
    <row r="217">
      <c r="A217" s="97"/>
    </row>
    <row r="218">
      <c r="A218" s="97"/>
    </row>
    <row r="219">
      <c r="A219" s="97"/>
    </row>
    <row r="220">
      <c r="A220" s="97"/>
    </row>
    <row r="221">
      <c r="A221" s="97"/>
    </row>
    <row r="222">
      <c r="A222" s="97"/>
    </row>
    <row r="223">
      <c r="A223" s="97"/>
    </row>
    <row r="224">
      <c r="A224" s="97"/>
    </row>
    <row r="225">
      <c r="A225" s="97"/>
    </row>
    <row r="226">
      <c r="A226" s="97"/>
    </row>
    <row r="227">
      <c r="A227" s="97"/>
    </row>
    <row r="228">
      <c r="A228" s="97"/>
    </row>
    <row r="229">
      <c r="A229" s="97"/>
    </row>
    <row r="230">
      <c r="A230" s="97"/>
    </row>
    <row r="231">
      <c r="A231" s="97"/>
    </row>
    <row r="232">
      <c r="A232" s="97"/>
    </row>
    <row r="233">
      <c r="A233" s="97"/>
    </row>
    <row r="234">
      <c r="A234" s="97"/>
    </row>
    <row r="235">
      <c r="A235" s="97"/>
    </row>
    <row r="236">
      <c r="A236" s="97"/>
    </row>
    <row r="237">
      <c r="A237" s="97"/>
    </row>
    <row r="238">
      <c r="A238" s="97"/>
    </row>
    <row r="239">
      <c r="A239" s="97"/>
    </row>
    <row r="240">
      <c r="A240" s="97"/>
    </row>
    <row r="241">
      <c r="A241" s="97"/>
    </row>
    <row r="242">
      <c r="A242" s="97"/>
    </row>
    <row r="243">
      <c r="A243" s="97"/>
    </row>
    <row r="244">
      <c r="A244" s="97"/>
    </row>
    <row r="245">
      <c r="A245" s="97"/>
    </row>
    <row r="246">
      <c r="A246" s="97"/>
    </row>
    <row r="247">
      <c r="A247" s="97"/>
    </row>
    <row r="248">
      <c r="A248" s="97"/>
    </row>
    <row r="249">
      <c r="A249" s="97"/>
    </row>
    <row r="250">
      <c r="A250" s="97"/>
    </row>
    <row r="251">
      <c r="A251" s="97"/>
    </row>
    <row r="252">
      <c r="A252" s="97"/>
    </row>
    <row r="253">
      <c r="A253" s="97"/>
    </row>
    <row r="254">
      <c r="A254" s="97"/>
    </row>
    <row r="255">
      <c r="A255" s="97"/>
    </row>
    <row r="256">
      <c r="A256" s="97"/>
    </row>
    <row r="257">
      <c r="A257" s="97"/>
    </row>
    <row r="258">
      <c r="A258" s="97"/>
    </row>
    <row r="259">
      <c r="A259" s="97"/>
    </row>
    <row r="260">
      <c r="A260" s="97"/>
    </row>
    <row r="261">
      <c r="A261" s="97"/>
    </row>
    <row r="262">
      <c r="A262" s="97"/>
    </row>
    <row r="263">
      <c r="A263" s="97"/>
    </row>
    <row r="264">
      <c r="A264" s="97"/>
    </row>
    <row r="265">
      <c r="A265" s="97"/>
    </row>
    <row r="266">
      <c r="A266" s="97"/>
    </row>
    <row r="267">
      <c r="A267" s="97"/>
    </row>
    <row r="268">
      <c r="A268" s="97"/>
    </row>
    <row r="269">
      <c r="A269" s="97"/>
    </row>
    <row r="270">
      <c r="A270" s="97"/>
    </row>
    <row r="271">
      <c r="A271" s="97"/>
    </row>
    <row r="272">
      <c r="A272" s="97"/>
    </row>
    <row r="273">
      <c r="A273" s="97"/>
    </row>
    <row r="274">
      <c r="A274" s="97"/>
    </row>
    <row r="275">
      <c r="A275" s="97"/>
    </row>
    <row r="276">
      <c r="A276" s="97"/>
    </row>
    <row r="277">
      <c r="A277" s="97"/>
    </row>
    <row r="278">
      <c r="A278" s="97"/>
    </row>
    <row r="279">
      <c r="A279" s="97"/>
    </row>
    <row r="280">
      <c r="A280" s="97"/>
    </row>
    <row r="281">
      <c r="A281" s="97"/>
    </row>
    <row r="282">
      <c r="A282" s="97"/>
    </row>
    <row r="283">
      <c r="A283" s="97"/>
    </row>
    <row r="284">
      <c r="A284" s="97"/>
    </row>
    <row r="285">
      <c r="A285" s="97"/>
    </row>
    <row r="286">
      <c r="A286" s="97"/>
    </row>
    <row r="287">
      <c r="A287" s="97"/>
    </row>
    <row r="288">
      <c r="A288" s="97"/>
    </row>
    <row r="289">
      <c r="A289" s="97"/>
    </row>
    <row r="290">
      <c r="A290" s="97"/>
    </row>
    <row r="291">
      <c r="A291" s="97"/>
    </row>
    <row r="292">
      <c r="A292" s="97"/>
    </row>
    <row r="293">
      <c r="A293" s="97"/>
    </row>
    <row r="294">
      <c r="A294" s="97"/>
    </row>
    <row r="295">
      <c r="A295" s="97"/>
    </row>
    <row r="296">
      <c r="A296" s="97"/>
    </row>
    <row r="297">
      <c r="A297" s="97"/>
    </row>
    <row r="298">
      <c r="A298" s="97"/>
    </row>
    <row r="299">
      <c r="A299" s="97"/>
    </row>
    <row r="300">
      <c r="A300" s="97"/>
    </row>
    <row r="301">
      <c r="A301" s="97"/>
    </row>
    <row r="302">
      <c r="A302" s="97"/>
    </row>
    <row r="303">
      <c r="A303" s="97"/>
    </row>
    <row r="304">
      <c r="A304" s="97"/>
    </row>
    <row r="305">
      <c r="A305" s="97"/>
    </row>
    <row r="306">
      <c r="A306" s="97"/>
    </row>
    <row r="307">
      <c r="A307" s="97"/>
    </row>
    <row r="308">
      <c r="A308" s="97"/>
    </row>
    <row r="309">
      <c r="A309" s="97"/>
    </row>
    <row r="310">
      <c r="A310" s="97"/>
    </row>
    <row r="311">
      <c r="A311" s="97"/>
    </row>
    <row r="312">
      <c r="A312" s="97"/>
    </row>
    <row r="313">
      <c r="A313" s="97"/>
    </row>
    <row r="314">
      <c r="A314" s="97"/>
    </row>
    <row r="315">
      <c r="A315" s="97"/>
    </row>
    <row r="316">
      <c r="A316" s="97"/>
    </row>
    <row r="317">
      <c r="A317" s="97"/>
    </row>
    <row r="318">
      <c r="A318" s="97"/>
    </row>
    <row r="319">
      <c r="A319" s="97"/>
    </row>
    <row r="320">
      <c r="A320" s="97"/>
    </row>
    <row r="321">
      <c r="A321" s="97"/>
    </row>
    <row r="322">
      <c r="A322" s="97"/>
    </row>
    <row r="323">
      <c r="A323" s="97"/>
    </row>
    <row r="324">
      <c r="A324" s="97"/>
    </row>
    <row r="325">
      <c r="A325" s="97"/>
    </row>
    <row r="326">
      <c r="A326" s="97"/>
    </row>
    <row r="327">
      <c r="A327" s="97"/>
    </row>
    <row r="328">
      <c r="A328" s="97"/>
    </row>
    <row r="329">
      <c r="A329" s="97"/>
    </row>
    <row r="330">
      <c r="A330" s="97"/>
    </row>
    <row r="331">
      <c r="A331" s="97"/>
    </row>
    <row r="332">
      <c r="A332" s="97"/>
    </row>
    <row r="333">
      <c r="A333" s="97"/>
    </row>
    <row r="334">
      <c r="A334" s="97"/>
    </row>
    <row r="335">
      <c r="A335" s="97"/>
    </row>
    <row r="336">
      <c r="A336" s="97"/>
    </row>
    <row r="337">
      <c r="A337" s="97"/>
    </row>
    <row r="338">
      <c r="A338" s="97"/>
    </row>
    <row r="339">
      <c r="A339" s="97"/>
    </row>
    <row r="340">
      <c r="A340" s="97"/>
    </row>
    <row r="341">
      <c r="A341" s="97"/>
    </row>
    <row r="342">
      <c r="A342" s="97"/>
    </row>
    <row r="343">
      <c r="A343" s="97"/>
    </row>
    <row r="344">
      <c r="A344" s="97"/>
    </row>
    <row r="345">
      <c r="A345" s="97"/>
    </row>
    <row r="346">
      <c r="A346" s="97"/>
    </row>
    <row r="347">
      <c r="A347" s="97"/>
    </row>
    <row r="348">
      <c r="A348" s="97"/>
    </row>
    <row r="349">
      <c r="A349" s="97"/>
    </row>
    <row r="350">
      <c r="A350" s="97"/>
    </row>
    <row r="351">
      <c r="A351" s="97"/>
    </row>
    <row r="352">
      <c r="A352" s="97"/>
    </row>
    <row r="353">
      <c r="A353" s="97"/>
    </row>
    <row r="354">
      <c r="A354" s="97"/>
    </row>
    <row r="355">
      <c r="A355" s="97"/>
    </row>
    <row r="356">
      <c r="A356" s="97"/>
    </row>
    <row r="357">
      <c r="A357" s="97"/>
    </row>
    <row r="358">
      <c r="A358" s="97"/>
    </row>
    <row r="359">
      <c r="A359" s="97"/>
    </row>
    <row r="360">
      <c r="A360" s="97"/>
    </row>
    <row r="361">
      <c r="A361" s="97"/>
    </row>
    <row r="362">
      <c r="A362" s="97"/>
    </row>
    <row r="363">
      <c r="A363" s="97"/>
    </row>
    <row r="364">
      <c r="A364" s="97"/>
    </row>
    <row r="365">
      <c r="A365" s="97"/>
    </row>
    <row r="366">
      <c r="A366" s="97"/>
    </row>
    <row r="367">
      <c r="A367" s="97"/>
    </row>
    <row r="368">
      <c r="A368" s="97"/>
    </row>
    <row r="369">
      <c r="A369" s="97"/>
    </row>
    <row r="370">
      <c r="A370" s="97"/>
    </row>
    <row r="371">
      <c r="A371" s="97"/>
    </row>
    <row r="372">
      <c r="A372" s="97"/>
    </row>
    <row r="373">
      <c r="A373" s="97"/>
    </row>
    <row r="374">
      <c r="A374" s="97"/>
    </row>
    <row r="375">
      <c r="A375" s="97"/>
    </row>
    <row r="376">
      <c r="A376" s="97"/>
    </row>
    <row r="377">
      <c r="A377" s="97"/>
    </row>
    <row r="378">
      <c r="A378" s="97"/>
    </row>
    <row r="379">
      <c r="A379" s="97"/>
    </row>
    <row r="380">
      <c r="A380" s="97"/>
    </row>
    <row r="381">
      <c r="A381" s="97"/>
    </row>
    <row r="382">
      <c r="A382" s="97"/>
    </row>
    <row r="383">
      <c r="A383" s="97"/>
    </row>
    <row r="384">
      <c r="A384" s="97"/>
    </row>
    <row r="385">
      <c r="A385" s="97"/>
    </row>
    <row r="386">
      <c r="A386" s="97"/>
    </row>
    <row r="387">
      <c r="A387" s="97"/>
    </row>
    <row r="388">
      <c r="A388" s="97"/>
    </row>
    <row r="389">
      <c r="A389" s="97"/>
    </row>
    <row r="390">
      <c r="A390" s="97"/>
    </row>
    <row r="391">
      <c r="A391" s="97"/>
    </row>
    <row r="392">
      <c r="A392" s="97"/>
    </row>
    <row r="393">
      <c r="A393" s="97"/>
    </row>
    <row r="394">
      <c r="A394" s="97"/>
    </row>
    <row r="395">
      <c r="A395" s="97"/>
    </row>
    <row r="396">
      <c r="A396" s="97"/>
    </row>
    <row r="397">
      <c r="A397" s="97"/>
    </row>
    <row r="398">
      <c r="A398" s="97"/>
    </row>
    <row r="399">
      <c r="A399" s="97"/>
    </row>
    <row r="400">
      <c r="A400" s="97"/>
    </row>
    <row r="401">
      <c r="A401" s="97"/>
    </row>
    <row r="402">
      <c r="A402" s="97"/>
    </row>
    <row r="403">
      <c r="A403" s="97"/>
    </row>
    <row r="404">
      <c r="A404" s="97"/>
    </row>
    <row r="405">
      <c r="A405" s="97"/>
    </row>
    <row r="406">
      <c r="A406" s="97"/>
    </row>
    <row r="407">
      <c r="A407" s="97"/>
    </row>
    <row r="408">
      <c r="A408" s="97"/>
    </row>
    <row r="409">
      <c r="A409" s="97"/>
    </row>
    <row r="410">
      <c r="A410" s="97"/>
    </row>
    <row r="411">
      <c r="A411" s="97"/>
    </row>
    <row r="412">
      <c r="A412" s="97"/>
    </row>
    <row r="413">
      <c r="A413" s="97"/>
    </row>
    <row r="414">
      <c r="A414" s="97"/>
    </row>
    <row r="415">
      <c r="A415" s="97"/>
    </row>
    <row r="416">
      <c r="A416" s="97"/>
    </row>
    <row r="417">
      <c r="A417" s="97"/>
    </row>
    <row r="418">
      <c r="A418" s="97"/>
    </row>
    <row r="419">
      <c r="A419" s="97"/>
    </row>
    <row r="420">
      <c r="A420" s="97"/>
    </row>
    <row r="421">
      <c r="A421" s="97"/>
    </row>
    <row r="422">
      <c r="A422" s="97"/>
    </row>
    <row r="423">
      <c r="A423" s="97"/>
    </row>
    <row r="424">
      <c r="A424" s="97"/>
    </row>
    <row r="425">
      <c r="A425" s="97"/>
    </row>
    <row r="426">
      <c r="A426" s="97"/>
    </row>
    <row r="427">
      <c r="A427" s="97"/>
    </row>
    <row r="428">
      <c r="A428" s="97"/>
    </row>
    <row r="429">
      <c r="A429" s="97"/>
    </row>
    <row r="430">
      <c r="A430" s="97"/>
    </row>
    <row r="431">
      <c r="A431" s="97"/>
    </row>
    <row r="432">
      <c r="A432" s="97"/>
    </row>
    <row r="433">
      <c r="A433" s="97"/>
    </row>
    <row r="434">
      <c r="A434" s="97"/>
    </row>
    <row r="435">
      <c r="A435" s="97"/>
    </row>
    <row r="436">
      <c r="A436" s="97"/>
    </row>
    <row r="437">
      <c r="A437" s="97"/>
    </row>
    <row r="438">
      <c r="A438" s="97"/>
    </row>
    <row r="439">
      <c r="A439" s="97"/>
    </row>
    <row r="440">
      <c r="A440" s="97"/>
    </row>
    <row r="441">
      <c r="A441" s="97"/>
    </row>
    <row r="442">
      <c r="A442" s="97"/>
    </row>
    <row r="443">
      <c r="A443" s="97"/>
    </row>
    <row r="444">
      <c r="A444" s="97"/>
    </row>
    <row r="445">
      <c r="A445" s="97"/>
    </row>
    <row r="446">
      <c r="A446" s="97"/>
    </row>
    <row r="447">
      <c r="A447" s="97"/>
    </row>
    <row r="448">
      <c r="A448" s="97"/>
    </row>
    <row r="449">
      <c r="A449" s="97"/>
    </row>
    <row r="450">
      <c r="A450" s="97"/>
    </row>
    <row r="451">
      <c r="A451" s="97"/>
    </row>
    <row r="452">
      <c r="A452" s="97"/>
    </row>
    <row r="453">
      <c r="A453" s="97"/>
    </row>
    <row r="454">
      <c r="A454" s="97"/>
    </row>
    <row r="455">
      <c r="A455" s="97"/>
    </row>
    <row r="456">
      <c r="A456" s="97"/>
    </row>
    <row r="457">
      <c r="A457" s="97"/>
    </row>
    <row r="458">
      <c r="A458" s="97"/>
    </row>
    <row r="459">
      <c r="A459" s="97"/>
    </row>
    <row r="460">
      <c r="A460" s="97"/>
    </row>
    <row r="461">
      <c r="A461" s="97"/>
    </row>
    <row r="462">
      <c r="A462" s="97"/>
    </row>
    <row r="463">
      <c r="A463" s="97"/>
    </row>
    <row r="464">
      <c r="A464" s="97"/>
    </row>
    <row r="465">
      <c r="A465" s="97"/>
    </row>
    <row r="466">
      <c r="A466" s="97"/>
    </row>
    <row r="467">
      <c r="A467" s="97"/>
    </row>
    <row r="468">
      <c r="A468" s="97"/>
    </row>
    <row r="469">
      <c r="A469" s="97"/>
    </row>
    <row r="470">
      <c r="A470" s="97"/>
    </row>
    <row r="471">
      <c r="A471" s="97"/>
    </row>
    <row r="472">
      <c r="A472" s="97"/>
    </row>
    <row r="473">
      <c r="A473" s="97"/>
    </row>
    <row r="474">
      <c r="A474" s="97"/>
    </row>
    <row r="475">
      <c r="A475" s="97"/>
    </row>
    <row r="476">
      <c r="A476" s="97"/>
    </row>
    <row r="477">
      <c r="A477" s="97"/>
    </row>
    <row r="478">
      <c r="A478" s="97"/>
    </row>
    <row r="479">
      <c r="A479" s="97"/>
    </row>
    <row r="480">
      <c r="A480" s="97"/>
    </row>
    <row r="481">
      <c r="A481" s="97"/>
    </row>
    <row r="482">
      <c r="A482" s="97"/>
    </row>
    <row r="483">
      <c r="A483" s="97"/>
    </row>
    <row r="484">
      <c r="A484" s="97"/>
    </row>
    <row r="485">
      <c r="A485" s="97"/>
    </row>
    <row r="486">
      <c r="A486" s="97"/>
    </row>
    <row r="487">
      <c r="A487" s="97"/>
    </row>
    <row r="488">
      <c r="A488" s="97"/>
    </row>
    <row r="489">
      <c r="A489" s="97"/>
    </row>
    <row r="490">
      <c r="A490" s="97"/>
    </row>
    <row r="491">
      <c r="A491" s="97"/>
    </row>
    <row r="492">
      <c r="A492" s="97"/>
    </row>
    <row r="493">
      <c r="A493" s="97"/>
    </row>
    <row r="494">
      <c r="A494" s="97"/>
    </row>
    <row r="495">
      <c r="A495" s="97"/>
    </row>
    <row r="496">
      <c r="A496" s="97"/>
    </row>
    <row r="497">
      <c r="A497" s="97"/>
    </row>
    <row r="498">
      <c r="A498" s="97"/>
    </row>
    <row r="499">
      <c r="A499" s="97"/>
    </row>
    <row r="500">
      <c r="A500" s="97"/>
    </row>
    <row r="501">
      <c r="A501" s="97"/>
    </row>
    <row r="502">
      <c r="A502" s="97"/>
    </row>
    <row r="503">
      <c r="A503" s="97"/>
    </row>
    <row r="504">
      <c r="A504" s="97"/>
    </row>
    <row r="505">
      <c r="A505" s="97"/>
    </row>
    <row r="506">
      <c r="A506" s="97"/>
    </row>
    <row r="507">
      <c r="A507" s="97"/>
    </row>
    <row r="508">
      <c r="A508" s="97"/>
    </row>
    <row r="509">
      <c r="A509" s="97"/>
    </row>
    <row r="510">
      <c r="A510" s="97"/>
    </row>
    <row r="511">
      <c r="A511" s="97"/>
    </row>
    <row r="512">
      <c r="A512" s="97"/>
    </row>
    <row r="513">
      <c r="A513" s="97"/>
    </row>
    <row r="514">
      <c r="A514" s="97"/>
    </row>
    <row r="515">
      <c r="A515" s="97"/>
    </row>
    <row r="516">
      <c r="A516" s="97"/>
    </row>
    <row r="517">
      <c r="A517" s="97"/>
    </row>
    <row r="518">
      <c r="A518" s="97"/>
    </row>
    <row r="519">
      <c r="A519" s="97"/>
    </row>
    <row r="520">
      <c r="A520" s="97"/>
    </row>
    <row r="521">
      <c r="A521" s="97"/>
    </row>
    <row r="522">
      <c r="A522" s="97"/>
    </row>
    <row r="523">
      <c r="A523" s="97"/>
    </row>
    <row r="524">
      <c r="A524" s="97"/>
    </row>
    <row r="525">
      <c r="A525" s="97"/>
    </row>
    <row r="526">
      <c r="A526" s="97"/>
    </row>
    <row r="527">
      <c r="A527" s="97"/>
    </row>
    <row r="528">
      <c r="A528" s="97"/>
    </row>
    <row r="529">
      <c r="A529" s="97"/>
    </row>
    <row r="530">
      <c r="A530" s="97"/>
    </row>
    <row r="531">
      <c r="A531" s="97"/>
    </row>
    <row r="532">
      <c r="A532" s="97"/>
    </row>
    <row r="533">
      <c r="A533" s="97"/>
    </row>
    <row r="534">
      <c r="A534" s="97"/>
    </row>
    <row r="535">
      <c r="A535" s="97"/>
    </row>
    <row r="536">
      <c r="A536" s="97"/>
    </row>
    <row r="537">
      <c r="A537" s="97"/>
    </row>
    <row r="538">
      <c r="A538" s="97"/>
    </row>
    <row r="539">
      <c r="A539" s="97"/>
    </row>
    <row r="540">
      <c r="A540" s="97"/>
    </row>
    <row r="541">
      <c r="A541" s="97"/>
    </row>
    <row r="542">
      <c r="A542" s="97"/>
    </row>
    <row r="543">
      <c r="A543" s="97"/>
    </row>
    <row r="544">
      <c r="A544" s="97"/>
    </row>
    <row r="545">
      <c r="A545" s="97"/>
    </row>
    <row r="546">
      <c r="A546" s="97"/>
    </row>
    <row r="547">
      <c r="A547" s="97"/>
    </row>
    <row r="548">
      <c r="A548" s="97"/>
    </row>
    <row r="549">
      <c r="A549" s="97"/>
    </row>
    <row r="550">
      <c r="A550" s="97"/>
    </row>
    <row r="551">
      <c r="A551" s="97"/>
    </row>
    <row r="552">
      <c r="A552" s="97"/>
    </row>
    <row r="553">
      <c r="A553" s="97"/>
    </row>
    <row r="554">
      <c r="A554" s="97"/>
    </row>
    <row r="555">
      <c r="A555" s="97"/>
    </row>
    <row r="556">
      <c r="A556" s="97"/>
    </row>
    <row r="557">
      <c r="A557" s="97"/>
    </row>
    <row r="558">
      <c r="A558" s="97"/>
    </row>
    <row r="559">
      <c r="A559" s="97"/>
    </row>
    <row r="560">
      <c r="A560" s="97"/>
    </row>
    <row r="561">
      <c r="A561" s="97"/>
    </row>
    <row r="562">
      <c r="A562" s="97"/>
    </row>
    <row r="563">
      <c r="A563" s="97"/>
    </row>
    <row r="564">
      <c r="A564" s="97"/>
    </row>
    <row r="565">
      <c r="A565" s="97"/>
    </row>
    <row r="566">
      <c r="A566" s="97"/>
    </row>
    <row r="567">
      <c r="A567" s="97"/>
    </row>
    <row r="568">
      <c r="A568" s="97"/>
    </row>
    <row r="569">
      <c r="A569" s="97"/>
    </row>
    <row r="570">
      <c r="A570" s="97"/>
    </row>
    <row r="571">
      <c r="A571" s="97"/>
    </row>
    <row r="572">
      <c r="A572" s="97"/>
    </row>
    <row r="573">
      <c r="A573" s="97"/>
    </row>
    <row r="574">
      <c r="A574" s="97"/>
    </row>
    <row r="575">
      <c r="A575" s="97"/>
    </row>
    <row r="576">
      <c r="A576" s="97"/>
    </row>
    <row r="577">
      <c r="A577" s="97"/>
    </row>
    <row r="578">
      <c r="A578" s="97"/>
    </row>
    <row r="579">
      <c r="A579" s="97"/>
    </row>
    <row r="580">
      <c r="A580" s="97"/>
    </row>
    <row r="581">
      <c r="A581" s="97"/>
    </row>
    <row r="582">
      <c r="A582" s="97"/>
    </row>
    <row r="583">
      <c r="A583" s="97"/>
    </row>
    <row r="584">
      <c r="A584" s="97"/>
    </row>
    <row r="585">
      <c r="A585" s="97"/>
    </row>
    <row r="586">
      <c r="A586" s="97"/>
    </row>
    <row r="587">
      <c r="A587" s="97"/>
    </row>
    <row r="588">
      <c r="A588" s="97"/>
    </row>
    <row r="589">
      <c r="A589" s="97"/>
    </row>
    <row r="590">
      <c r="A590" s="97"/>
    </row>
    <row r="591">
      <c r="A591" s="97"/>
    </row>
    <row r="592">
      <c r="A592" s="97"/>
    </row>
    <row r="593">
      <c r="A593" s="97"/>
    </row>
    <row r="594">
      <c r="A594" s="97"/>
    </row>
    <row r="595">
      <c r="A595" s="97"/>
    </row>
    <row r="596">
      <c r="A596" s="97"/>
    </row>
    <row r="597">
      <c r="A597" s="97"/>
    </row>
    <row r="598">
      <c r="A598" s="97"/>
    </row>
    <row r="599">
      <c r="A599" s="97"/>
    </row>
    <row r="600">
      <c r="A600" s="97"/>
    </row>
    <row r="601">
      <c r="A601" s="97"/>
    </row>
    <row r="602">
      <c r="A602" s="97"/>
    </row>
    <row r="603">
      <c r="A603" s="97"/>
    </row>
    <row r="604">
      <c r="A604" s="97"/>
    </row>
    <row r="605">
      <c r="A605" s="97"/>
    </row>
    <row r="606">
      <c r="A606" s="97"/>
    </row>
    <row r="607">
      <c r="A607" s="97"/>
    </row>
    <row r="608">
      <c r="A608" s="97"/>
    </row>
    <row r="609">
      <c r="A609" s="97"/>
    </row>
    <row r="610">
      <c r="A610" s="97"/>
    </row>
    <row r="611">
      <c r="A611" s="97"/>
    </row>
    <row r="612">
      <c r="A612" s="97"/>
    </row>
    <row r="613">
      <c r="A613" s="97"/>
    </row>
    <row r="614">
      <c r="A614" s="97"/>
    </row>
    <row r="615">
      <c r="A615" s="97"/>
    </row>
    <row r="616">
      <c r="A616" s="97"/>
    </row>
    <row r="617">
      <c r="A617" s="97"/>
    </row>
    <row r="618">
      <c r="A618" s="97"/>
    </row>
    <row r="619">
      <c r="A619" s="97"/>
    </row>
    <row r="620">
      <c r="A620" s="97"/>
    </row>
    <row r="621">
      <c r="A621" s="97"/>
    </row>
    <row r="622">
      <c r="A622" s="97"/>
    </row>
    <row r="623">
      <c r="A623" s="97"/>
    </row>
    <row r="624">
      <c r="A624" s="97"/>
    </row>
    <row r="625">
      <c r="A625" s="97"/>
    </row>
    <row r="626">
      <c r="A626" s="97"/>
    </row>
    <row r="627">
      <c r="A627" s="97"/>
    </row>
    <row r="628">
      <c r="A628" s="97"/>
    </row>
    <row r="629">
      <c r="A629" s="97"/>
    </row>
    <row r="630">
      <c r="A630" s="97"/>
    </row>
    <row r="631">
      <c r="A631" s="97"/>
    </row>
    <row r="632">
      <c r="A632" s="97"/>
    </row>
    <row r="633">
      <c r="A633" s="97"/>
    </row>
    <row r="634">
      <c r="A634" s="97"/>
    </row>
    <row r="635">
      <c r="A635" s="97"/>
    </row>
    <row r="636">
      <c r="A636" s="97"/>
    </row>
    <row r="637">
      <c r="A637" s="97"/>
    </row>
    <row r="638">
      <c r="A638" s="97"/>
    </row>
    <row r="639">
      <c r="A639" s="97"/>
    </row>
    <row r="640">
      <c r="A640" s="97"/>
    </row>
    <row r="641">
      <c r="A641" s="97"/>
    </row>
    <row r="642">
      <c r="A642" s="97"/>
    </row>
    <row r="643">
      <c r="A643" s="97"/>
    </row>
    <row r="644">
      <c r="A644" s="97"/>
    </row>
    <row r="645">
      <c r="A645" s="97"/>
    </row>
    <row r="646">
      <c r="A646" s="97"/>
    </row>
    <row r="647">
      <c r="A647" s="97"/>
    </row>
    <row r="648">
      <c r="A648" s="97"/>
    </row>
    <row r="649">
      <c r="A649" s="97"/>
    </row>
    <row r="650">
      <c r="A650" s="97"/>
    </row>
    <row r="651">
      <c r="A651" s="97"/>
    </row>
    <row r="652">
      <c r="A652" s="97"/>
    </row>
    <row r="653">
      <c r="A653" s="97"/>
    </row>
    <row r="654">
      <c r="A654" s="97"/>
    </row>
    <row r="655">
      <c r="A655" s="97"/>
    </row>
    <row r="656">
      <c r="A656" s="97"/>
    </row>
    <row r="657">
      <c r="A657" s="97"/>
    </row>
    <row r="658">
      <c r="A658" s="97"/>
    </row>
    <row r="659">
      <c r="A659" s="97"/>
    </row>
    <row r="660">
      <c r="A660" s="97"/>
    </row>
    <row r="661">
      <c r="A661" s="97"/>
    </row>
    <row r="662">
      <c r="A662" s="97"/>
    </row>
    <row r="663">
      <c r="A663" s="97"/>
    </row>
    <row r="664">
      <c r="A664" s="97"/>
    </row>
    <row r="665">
      <c r="A665" s="97"/>
    </row>
    <row r="666">
      <c r="A666" s="97"/>
    </row>
    <row r="667">
      <c r="A667" s="97"/>
    </row>
    <row r="668">
      <c r="A668" s="97"/>
    </row>
    <row r="669">
      <c r="A669" s="97"/>
    </row>
    <row r="670">
      <c r="A670" s="97"/>
    </row>
    <row r="671">
      <c r="A671" s="97"/>
    </row>
    <row r="672">
      <c r="A672" s="97"/>
    </row>
    <row r="673">
      <c r="A673" s="97"/>
    </row>
    <row r="674">
      <c r="A674" s="97"/>
    </row>
    <row r="675">
      <c r="A675" s="97"/>
    </row>
    <row r="676">
      <c r="A676" s="97"/>
    </row>
    <row r="677">
      <c r="A677" s="97"/>
    </row>
    <row r="678">
      <c r="A678" s="97"/>
    </row>
    <row r="679">
      <c r="A679" s="97"/>
    </row>
    <row r="680">
      <c r="A680" s="97"/>
    </row>
    <row r="681">
      <c r="A681" s="97"/>
    </row>
    <row r="682">
      <c r="A682" s="97"/>
    </row>
    <row r="683">
      <c r="A683" s="97"/>
    </row>
    <row r="684">
      <c r="A684" s="97"/>
    </row>
    <row r="685">
      <c r="A685" s="97"/>
    </row>
    <row r="686">
      <c r="A686" s="97"/>
    </row>
    <row r="687">
      <c r="A687" s="97"/>
    </row>
    <row r="688">
      <c r="A688" s="97"/>
    </row>
    <row r="689">
      <c r="A689" s="97"/>
    </row>
    <row r="690">
      <c r="A690" s="97"/>
    </row>
    <row r="691">
      <c r="A691" s="97"/>
    </row>
    <row r="692">
      <c r="A692" s="97"/>
    </row>
    <row r="693">
      <c r="A693" s="97"/>
    </row>
    <row r="694">
      <c r="A694" s="97"/>
    </row>
    <row r="695">
      <c r="A695" s="97"/>
    </row>
    <row r="696">
      <c r="A696" s="97"/>
    </row>
    <row r="697">
      <c r="A697" s="97"/>
    </row>
    <row r="698">
      <c r="A698" s="97"/>
    </row>
    <row r="699">
      <c r="A699" s="97"/>
    </row>
    <row r="700">
      <c r="A700" s="97"/>
    </row>
    <row r="701">
      <c r="A701" s="97"/>
    </row>
    <row r="702">
      <c r="A702" s="97"/>
    </row>
    <row r="703">
      <c r="A703" s="97"/>
    </row>
    <row r="704">
      <c r="A704" s="97"/>
    </row>
    <row r="705">
      <c r="A705" s="97"/>
    </row>
    <row r="706">
      <c r="A706" s="97"/>
    </row>
    <row r="707">
      <c r="A707" s="97"/>
    </row>
    <row r="708">
      <c r="A708" s="97"/>
    </row>
    <row r="709">
      <c r="A709" s="97"/>
    </row>
    <row r="710">
      <c r="A710" s="97"/>
    </row>
    <row r="711">
      <c r="A711" s="97"/>
    </row>
    <row r="712">
      <c r="A712" s="97"/>
    </row>
    <row r="713">
      <c r="A713" s="97"/>
    </row>
    <row r="714">
      <c r="A714" s="97"/>
    </row>
    <row r="715">
      <c r="A715" s="97"/>
    </row>
    <row r="716">
      <c r="A716" s="97"/>
    </row>
    <row r="717">
      <c r="A717" s="97"/>
    </row>
    <row r="718">
      <c r="A718" s="97"/>
    </row>
    <row r="719">
      <c r="A719" s="97"/>
    </row>
    <row r="720">
      <c r="A720" s="97"/>
    </row>
    <row r="721">
      <c r="A721" s="97"/>
    </row>
    <row r="722">
      <c r="A722" s="97"/>
    </row>
    <row r="723">
      <c r="A723" s="97"/>
    </row>
    <row r="724">
      <c r="A724" s="97"/>
    </row>
    <row r="725">
      <c r="A725" s="97"/>
    </row>
    <row r="726">
      <c r="A726" s="97"/>
    </row>
    <row r="727">
      <c r="A727" s="97"/>
    </row>
    <row r="728">
      <c r="A728" s="97"/>
    </row>
    <row r="729">
      <c r="A729" s="97"/>
    </row>
    <row r="730">
      <c r="A730" s="97"/>
    </row>
    <row r="731">
      <c r="A731" s="97"/>
    </row>
    <row r="732">
      <c r="A732" s="97"/>
    </row>
    <row r="733">
      <c r="A733" s="97"/>
    </row>
    <row r="734">
      <c r="A734" s="97"/>
    </row>
    <row r="735">
      <c r="A735" s="97"/>
    </row>
    <row r="736">
      <c r="A736" s="97"/>
    </row>
    <row r="737">
      <c r="A737" s="97"/>
    </row>
    <row r="738">
      <c r="A738" s="97"/>
    </row>
    <row r="739">
      <c r="A739" s="97"/>
    </row>
    <row r="740">
      <c r="A740" s="97"/>
    </row>
    <row r="741">
      <c r="A741" s="97"/>
    </row>
    <row r="742">
      <c r="A742" s="97"/>
    </row>
    <row r="743">
      <c r="A743" s="97"/>
    </row>
    <row r="744">
      <c r="A744" s="97"/>
    </row>
    <row r="745">
      <c r="A745" s="97"/>
    </row>
    <row r="746">
      <c r="A746" s="97"/>
    </row>
    <row r="747">
      <c r="A747" s="97"/>
    </row>
    <row r="748">
      <c r="A748" s="97"/>
    </row>
    <row r="749">
      <c r="A749" s="97"/>
    </row>
    <row r="750">
      <c r="A750" s="97"/>
    </row>
    <row r="751">
      <c r="A751" s="97"/>
    </row>
    <row r="752">
      <c r="A752" s="97"/>
    </row>
    <row r="753">
      <c r="A753" s="97"/>
    </row>
    <row r="754">
      <c r="A754" s="97"/>
    </row>
    <row r="755">
      <c r="A755" s="97"/>
    </row>
    <row r="756">
      <c r="A756" s="97"/>
    </row>
    <row r="757">
      <c r="A757" s="97"/>
    </row>
    <row r="758">
      <c r="A758" s="97"/>
    </row>
    <row r="759">
      <c r="A759" s="97"/>
    </row>
    <row r="760">
      <c r="A760" s="97"/>
    </row>
    <row r="761">
      <c r="A761" s="97"/>
    </row>
    <row r="762">
      <c r="A762" s="97"/>
    </row>
    <row r="763">
      <c r="A763" s="97"/>
    </row>
    <row r="764">
      <c r="A764" s="97"/>
    </row>
    <row r="765">
      <c r="A765" s="97"/>
    </row>
    <row r="766">
      <c r="A766" s="97"/>
    </row>
    <row r="767">
      <c r="A767" s="97"/>
    </row>
    <row r="768">
      <c r="A768" s="97"/>
    </row>
    <row r="769">
      <c r="A769" s="97"/>
    </row>
    <row r="770">
      <c r="A770" s="97"/>
    </row>
    <row r="771">
      <c r="A771" s="97"/>
    </row>
    <row r="772">
      <c r="A772" s="97"/>
    </row>
    <row r="773">
      <c r="A773" s="97"/>
    </row>
    <row r="774">
      <c r="A774" s="97"/>
    </row>
    <row r="775">
      <c r="A775" s="97"/>
    </row>
    <row r="776">
      <c r="A776" s="97"/>
    </row>
    <row r="777">
      <c r="A777" s="97"/>
    </row>
    <row r="778">
      <c r="A778" s="97"/>
    </row>
    <row r="779">
      <c r="A779" s="97"/>
    </row>
    <row r="780">
      <c r="A780" s="97"/>
    </row>
    <row r="781">
      <c r="A781" s="97"/>
    </row>
    <row r="782">
      <c r="A782" s="97"/>
    </row>
    <row r="783">
      <c r="A783" s="97"/>
    </row>
    <row r="784">
      <c r="A784" s="97"/>
    </row>
    <row r="785">
      <c r="A785" s="97"/>
    </row>
    <row r="786">
      <c r="A786" s="97"/>
    </row>
    <row r="787">
      <c r="A787" s="97"/>
    </row>
    <row r="788">
      <c r="A788" s="97"/>
    </row>
    <row r="789">
      <c r="A789" s="97"/>
    </row>
    <row r="790">
      <c r="A790" s="97"/>
    </row>
    <row r="791">
      <c r="A791" s="97"/>
    </row>
    <row r="792">
      <c r="A792" s="97"/>
    </row>
    <row r="793">
      <c r="A793" s="97"/>
    </row>
    <row r="794">
      <c r="A794" s="97"/>
    </row>
    <row r="795">
      <c r="A795" s="97"/>
    </row>
    <row r="796">
      <c r="A796" s="97"/>
    </row>
    <row r="797">
      <c r="A797" s="97"/>
    </row>
    <row r="798">
      <c r="A798" s="97"/>
    </row>
    <row r="799">
      <c r="A799" s="97"/>
    </row>
    <row r="800">
      <c r="A800" s="97"/>
    </row>
    <row r="801">
      <c r="A801" s="97"/>
    </row>
    <row r="802">
      <c r="A802" s="97"/>
    </row>
    <row r="803">
      <c r="A803" s="97"/>
    </row>
    <row r="804">
      <c r="A804" s="97"/>
    </row>
    <row r="805">
      <c r="A805" s="97"/>
    </row>
    <row r="806">
      <c r="A806" s="97"/>
    </row>
    <row r="807">
      <c r="A807" s="97"/>
    </row>
    <row r="808">
      <c r="A808" s="97"/>
    </row>
    <row r="809">
      <c r="A809" s="97"/>
    </row>
    <row r="810">
      <c r="A810" s="97"/>
    </row>
    <row r="811">
      <c r="A811" s="97"/>
    </row>
    <row r="812">
      <c r="A812" s="97"/>
    </row>
    <row r="813">
      <c r="A813" s="97"/>
    </row>
    <row r="814">
      <c r="A814" s="97"/>
    </row>
    <row r="815">
      <c r="A815" s="97"/>
    </row>
    <row r="816">
      <c r="A816" s="97"/>
    </row>
    <row r="817">
      <c r="A817" s="97"/>
    </row>
    <row r="818">
      <c r="A818" s="97"/>
    </row>
    <row r="819">
      <c r="A819" s="97"/>
    </row>
    <row r="820">
      <c r="A820" s="97"/>
    </row>
    <row r="821">
      <c r="A821" s="97"/>
    </row>
    <row r="822">
      <c r="A822" s="97"/>
    </row>
    <row r="823">
      <c r="A823" s="97"/>
    </row>
    <row r="824">
      <c r="A824" s="97"/>
    </row>
    <row r="825">
      <c r="A825" s="97"/>
    </row>
    <row r="826">
      <c r="A826" s="97"/>
    </row>
    <row r="827">
      <c r="A827" s="97"/>
    </row>
    <row r="828">
      <c r="A828" s="97"/>
    </row>
    <row r="829">
      <c r="A829" s="97"/>
    </row>
    <row r="830">
      <c r="A830" s="97"/>
    </row>
    <row r="831">
      <c r="A831" s="97"/>
    </row>
    <row r="832">
      <c r="A832" s="97"/>
    </row>
    <row r="833">
      <c r="A833" s="97"/>
    </row>
    <row r="834">
      <c r="A834" s="97"/>
    </row>
    <row r="835">
      <c r="A835" s="97"/>
    </row>
    <row r="836">
      <c r="A836" s="97"/>
    </row>
    <row r="837">
      <c r="A837" s="97"/>
    </row>
    <row r="838">
      <c r="A838" s="97"/>
    </row>
    <row r="839">
      <c r="A839" s="97"/>
    </row>
    <row r="840">
      <c r="A840" s="97"/>
    </row>
    <row r="841">
      <c r="A841" s="97"/>
    </row>
    <row r="842">
      <c r="A842" s="97"/>
    </row>
    <row r="843">
      <c r="A843" s="97"/>
    </row>
    <row r="844">
      <c r="A844" s="97"/>
    </row>
    <row r="845">
      <c r="A845" s="97"/>
    </row>
    <row r="846">
      <c r="A846" s="97"/>
    </row>
    <row r="847">
      <c r="A847" s="97"/>
    </row>
    <row r="848">
      <c r="A848" s="97"/>
    </row>
    <row r="849">
      <c r="A849" s="97"/>
    </row>
    <row r="850">
      <c r="A850" s="97"/>
    </row>
    <row r="851">
      <c r="A851" s="97"/>
    </row>
    <row r="852">
      <c r="A852" s="97"/>
    </row>
    <row r="853">
      <c r="A853" s="97"/>
    </row>
    <row r="854">
      <c r="A854" s="97"/>
    </row>
    <row r="855">
      <c r="A855" s="97"/>
    </row>
    <row r="856">
      <c r="A856" s="97"/>
    </row>
    <row r="857">
      <c r="A857" s="97"/>
    </row>
    <row r="858">
      <c r="A858" s="97"/>
    </row>
    <row r="859">
      <c r="A859" s="97"/>
    </row>
    <row r="860">
      <c r="A860" s="97"/>
    </row>
    <row r="861">
      <c r="A861" s="97"/>
    </row>
    <row r="862">
      <c r="A862" s="97"/>
    </row>
    <row r="863">
      <c r="A863" s="97"/>
    </row>
    <row r="864">
      <c r="A864" s="97"/>
    </row>
    <row r="865">
      <c r="A865" s="97"/>
    </row>
    <row r="866">
      <c r="A866" s="97"/>
    </row>
    <row r="867">
      <c r="A867" s="97"/>
    </row>
    <row r="868">
      <c r="A868" s="97"/>
    </row>
    <row r="869">
      <c r="A869" s="97"/>
    </row>
    <row r="870">
      <c r="A870" s="97"/>
    </row>
    <row r="871">
      <c r="A871" s="97"/>
    </row>
    <row r="872">
      <c r="A872" s="97"/>
    </row>
    <row r="873">
      <c r="A873" s="97"/>
    </row>
    <row r="874">
      <c r="A874" s="97"/>
    </row>
    <row r="875">
      <c r="A875" s="97"/>
    </row>
    <row r="876">
      <c r="A876" s="97"/>
    </row>
    <row r="877">
      <c r="A877" s="97"/>
    </row>
    <row r="878">
      <c r="A878" s="97"/>
    </row>
    <row r="879">
      <c r="A879" s="97"/>
    </row>
    <row r="880">
      <c r="A880" s="97"/>
    </row>
    <row r="881">
      <c r="A881" s="97"/>
    </row>
    <row r="882">
      <c r="A882" s="97"/>
    </row>
    <row r="883">
      <c r="A883" s="97"/>
    </row>
    <row r="884">
      <c r="A884" s="97"/>
    </row>
    <row r="885">
      <c r="A885" s="97"/>
    </row>
    <row r="886">
      <c r="A886" s="97"/>
    </row>
    <row r="887">
      <c r="A887" s="97"/>
    </row>
    <row r="888">
      <c r="A888" s="97"/>
    </row>
    <row r="889">
      <c r="A889" s="97"/>
    </row>
    <row r="890">
      <c r="A890" s="97"/>
    </row>
    <row r="891">
      <c r="A891" s="97"/>
    </row>
    <row r="892">
      <c r="A892" s="97"/>
    </row>
    <row r="893">
      <c r="A893" s="97"/>
    </row>
    <row r="894">
      <c r="A894" s="97"/>
    </row>
    <row r="895">
      <c r="A895" s="97"/>
    </row>
    <row r="896">
      <c r="A896" s="97"/>
    </row>
    <row r="897">
      <c r="A897" s="97"/>
    </row>
    <row r="898">
      <c r="A898" s="97"/>
    </row>
    <row r="899">
      <c r="A899" s="97"/>
    </row>
    <row r="900">
      <c r="A900" s="97"/>
    </row>
    <row r="901">
      <c r="A901" s="97"/>
    </row>
    <row r="902">
      <c r="A902" s="97"/>
    </row>
    <row r="903">
      <c r="A903" s="97"/>
    </row>
    <row r="904">
      <c r="A904" s="97"/>
    </row>
    <row r="905">
      <c r="A905" s="97"/>
    </row>
    <row r="906">
      <c r="A906" s="97"/>
    </row>
    <row r="907">
      <c r="A907" s="97"/>
    </row>
    <row r="908">
      <c r="A908" s="97"/>
    </row>
    <row r="909">
      <c r="A909" s="97"/>
    </row>
    <row r="910">
      <c r="A910" s="97"/>
    </row>
    <row r="911">
      <c r="A911" s="97"/>
    </row>
    <row r="912">
      <c r="A912" s="97"/>
    </row>
    <row r="913">
      <c r="A913" s="97"/>
    </row>
    <row r="914">
      <c r="A914" s="97"/>
    </row>
    <row r="915">
      <c r="A915" s="97"/>
    </row>
    <row r="916">
      <c r="A916" s="97"/>
    </row>
    <row r="917">
      <c r="A917" s="97"/>
    </row>
    <row r="918">
      <c r="A918" s="97"/>
    </row>
    <row r="919">
      <c r="A919" s="97"/>
    </row>
    <row r="920">
      <c r="A920" s="97"/>
    </row>
    <row r="921">
      <c r="A921" s="97"/>
    </row>
    <row r="922">
      <c r="A922" s="97"/>
    </row>
    <row r="923">
      <c r="A923" s="97"/>
    </row>
    <row r="924">
      <c r="A924" s="97"/>
    </row>
    <row r="925">
      <c r="A925" s="97"/>
    </row>
    <row r="926">
      <c r="A926" s="97"/>
    </row>
    <row r="927">
      <c r="A927" s="97"/>
    </row>
    <row r="928">
      <c r="A928" s="97"/>
    </row>
    <row r="929">
      <c r="A929" s="97"/>
    </row>
    <row r="930">
      <c r="A930" s="97"/>
    </row>
    <row r="931">
      <c r="A931" s="97"/>
    </row>
    <row r="932">
      <c r="A932" s="97"/>
    </row>
    <row r="933">
      <c r="A933" s="97"/>
    </row>
    <row r="934">
      <c r="A934" s="97"/>
    </row>
    <row r="935">
      <c r="A935" s="97"/>
    </row>
    <row r="936">
      <c r="A936" s="97"/>
    </row>
    <row r="937">
      <c r="A937" s="97"/>
    </row>
    <row r="938">
      <c r="A938" s="97"/>
    </row>
    <row r="939">
      <c r="A939" s="97"/>
    </row>
    <row r="940">
      <c r="A940" s="97"/>
    </row>
    <row r="941">
      <c r="A941" s="97"/>
    </row>
    <row r="942">
      <c r="A942" s="97"/>
    </row>
    <row r="943">
      <c r="A943" s="97"/>
    </row>
    <row r="944">
      <c r="A944" s="97"/>
    </row>
    <row r="945">
      <c r="A945" s="97"/>
    </row>
    <row r="946">
      <c r="A946" s="97"/>
    </row>
    <row r="947">
      <c r="A947" s="97"/>
    </row>
    <row r="948">
      <c r="A948" s="97"/>
    </row>
    <row r="949">
      <c r="A949" s="97"/>
    </row>
    <row r="950">
      <c r="A950" s="97"/>
    </row>
    <row r="951">
      <c r="A951" s="97"/>
    </row>
    <row r="952">
      <c r="A952" s="97"/>
    </row>
    <row r="953">
      <c r="A953" s="97"/>
    </row>
    <row r="954">
      <c r="A954" s="97"/>
    </row>
    <row r="955">
      <c r="A955" s="97"/>
    </row>
    <row r="956">
      <c r="A956" s="97"/>
    </row>
    <row r="957">
      <c r="A957" s="97"/>
    </row>
    <row r="958">
      <c r="A958" s="97"/>
    </row>
    <row r="959">
      <c r="A959" s="97"/>
    </row>
    <row r="960">
      <c r="A960" s="97"/>
    </row>
    <row r="961">
      <c r="A961" s="97"/>
    </row>
    <row r="962">
      <c r="A962" s="97"/>
    </row>
    <row r="963">
      <c r="A963" s="97"/>
    </row>
    <row r="964">
      <c r="A964" s="97"/>
    </row>
    <row r="965">
      <c r="A965" s="97"/>
    </row>
    <row r="966">
      <c r="A966" s="97"/>
    </row>
    <row r="967">
      <c r="A967" s="97"/>
    </row>
    <row r="968">
      <c r="A968" s="97"/>
    </row>
    <row r="969">
      <c r="A969" s="97"/>
    </row>
    <row r="970">
      <c r="A970" s="97"/>
    </row>
    <row r="971">
      <c r="A971" s="97"/>
    </row>
    <row r="972">
      <c r="A972" s="97"/>
    </row>
    <row r="973">
      <c r="A973" s="97"/>
    </row>
    <row r="974">
      <c r="A974" s="97"/>
    </row>
    <row r="975">
      <c r="A975" s="97"/>
    </row>
    <row r="976">
      <c r="A976" s="97"/>
    </row>
    <row r="977">
      <c r="A977" s="97"/>
    </row>
    <row r="978">
      <c r="A978" s="97"/>
    </row>
    <row r="979">
      <c r="A979" s="97"/>
    </row>
    <row r="980">
      <c r="A980" s="97"/>
    </row>
    <row r="981">
      <c r="A981" s="97"/>
    </row>
    <row r="982">
      <c r="A982" s="97"/>
    </row>
    <row r="983">
      <c r="A983" s="97"/>
    </row>
    <row r="984">
      <c r="A984" s="97"/>
    </row>
    <row r="985">
      <c r="A985" s="97"/>
    </row>
    <row r="986">
      <c r="A986" s="97"/>
    </row>
    <row r="987">
      <c r="A987" s="97"/>
    </row>
    <row r="988">
      <c r="A988" s="97"/>
    </row>
    <row r="989">
      <c r="A989" s="97"/>
    </row>
    <row r="990">
      <c r="A990" s="97"/>
    </row>
    <row r="991">
      <c r="A991" s="97"/>
    </row>
    <row r="992">
      <c r="A992" s="97"/>
    </row>
    <row r="993">
      <c r="A993" s="97"/>
    </row>
    <row r="994">
      <c r="A994" s="97"/>
    </row>
    <row r="995">
      <c r="A995" s="97"/>
    </row>
    <row r="996">
      <c r="A996" s="97"/>
    </row>
    <row r="997">
      <c r="A997" s="97"/>
    </row>
    <row r="998">
      <c r="A998" s="97"/>
    </row>
    <row r="999">
      <c r="A999" s="97"/>
    </row>
    <row r="1000">
      <c r="A1000" s="97"/>
    </row>
  </sheetData>
  <dataValidations>
    <dataValidation type="list" allowBlank="1" sqref="G84:G98">
      <formula1>"堀池Dr.　とやま,日野Dr.　城西,井上Dr.　城西,内田Dr.　静岡ホーム,梅内Dr.　静岡ホーム,野村Dr.　静岡ホーム,古谷Dr.　静岡ホーム,東静岡,平野Dr　平野"</formula1>
    </dataValidation>
    <dataValidation type="list" allowBlank="1" sqref="J2:J51">
      <formula1>"米飯,軟飯,全粥,ミキサー,パン,その他"</formula1>
    </dataValidation>
    <dataValidation type="list" allowBlank="1" sqref="H79:I81 H83:I89 H91:I91">
      <formula1>"歩行器,多機能車椅子,チルト式車椅子,リクライニング式車椅子,手すり,その他"</formula1>
    </dataValidation>
    <dataValidation type="list" allowBlank="1" sqref="G79:G81 G83">
      <formula1>"安部Dr.　とやま,外山Dr.　とやま,静岡ホーム,日野Dr.　城西,稲葉Dr.　城西,平野Dr　平野,東静岡"</formula1>
    </dataValidation>
    <dataValidation type="list" allowBlank="1" sqref="H2:H51">
      <formula1>"小嶋デンタル,さくらばし歯科"</formula1>
    </dataValidation>
    <dataValidation type="list" allowBlank="1" sqref="K2:K51">
      <formula1>"普通,一口,きざみ,極キザミ,ミキサー,その他"</formula1>
    </dataValidation>
    <dataValidation type="list" allowBlank="1" sqref="M2:M51">
      <formula1>"〇,×"</formula1>
    </dataValidation>
    <dataValidation type="list" allowBlank="1" sqref="G2:G51">
      <formula1>"堀池Dr.　とやま,日野Dr.　城西,井上Dr.　城西,内田Dr.　静岡ホーム,梅内Dr.　静岡ホーム,野村Dr.　静岡ホーム,古谷Dr.　静岡ホーム,東静岡,平野Dr　平野"</formula1>
    </dataValidation>
    <dataValidation type="list" allowBlank="1" sqref="H92:H95 H97:H98">
      <formula1>"小嶋デンタル,さくらばし歯科"</formula1>
    </dataValidation>
    <dataValidation type="custom" allowBlank="1" showDropDown="1" sqref="C2:C51 E2:E51">
      <formula1>OR(NOT(ISERROR(DATEVALUE(C2))), AND(ISNUMBER(C2), LEFT(CELL("format", C2))="D"))</formula1>
    </dataValidation>
    <dataValidation type="list" allowBlank="1" sqref="I2:I51">
      <formula1>"レ　車椅子,施　車椅子,購　車椅子,レ　歩行器,施　歩行器,購　歩行器,レ　多機能車椅子,レ　チルト式車椅子,レ　リクライニング式車椅子,施　リクライニング,レ　手すり,その他"</formula1>
    </dataValidation>
    <dataValidation type="list" allowBlank="1" sqref="D2:D51">
      <formula1>"5,4,3,2,1"</formula1>
    </dataValidation>
    <dataValidation type="list" allowBlank="1" sqref="L2:L51">
      <formula1>"あり,無し"</formula1>
    </dataValidation>
    <dataValidation type="custom" allowBlank="1" showDropDown="1" sqref="A2:A51">
      <formula1>AND(ISNUMBER(A2),(NOT(OR(NOT(ISERROR(DATEVALUE(A2))), AND(ISNUMBER(A2), LEFT(CELL("format", A2))="D")))))</formula1>
    </dataValidation>
    <dataValidation type="list" allowBlank="1" sqref="I94 I98">
      <formula1>"レ　車椅子,施　車椅子,購　車椅子,レ　歩行器,施　歩行器,購　歩行器,レ　多機能車椅子,レ　チルト式車椅子,レ　リクライニング式車椅子,施　リクライニング,レ　手すり,その他"</formula1>
    </dataValidation>
    <dataValidation type="list" allowBlank="1" sqref="D75 D79:D81 D83:D98">
      <formula1>"5,4,3,2,1"</formula1>
    </dataValidation>
    <dataValidation type="list" allowBlank="1" sqref="N2:N51">
      <formula1>"早出し"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 ht="22.5" customHeight="1">
      <c r="A1" s="30" t="s">
        <v>7</v>
      </c>
      <c r="B1" s="35" t="s">
        <v>16</v>
      </c>
      <c r="C1" s="35" t="s">
        <v>19</v>
      </c>
      <c r="D1" s="35" t="s">
        <v>20</v>
      </c>
      <c r="E1" s="35" t="s">
        <v>21</v>
      </c>
      <c r="F1" s="39" t="s">
        <v>22</v>
      </c>
    </row>
    <row r="2" ht="22.5" customHeight="1">
      <c r="A2" s="41">
        <v>201.0</v>
      </c>
      <c r="B2" s="43" t="s">
        <v>24</v>
      </c>
      <c r="C2" s="46">
        <v>46217.0</v>
      </c>
      <c r="D2" s="48">
        <v>4.0</v>
      </c>
      <c r="E2" s="50" t="s">
        <v>28</v>
      </c>
      <c r="F2" s="57">
        <v>77.0</v>
      </c>
    </row>
    <row r="3" ht="22.5" customHeight="1">
      <c r="A3" s="41">
        <v>202.0</v>
      </c>
      <c r="B3" s="50" t="s">
        <v>54</v>
      </c>
      <c r="C3" s="46">
        <v>45846.0</v>
      </c>
      <c r="D3" s="48">
        <v>4.0</v>
      </c>
      <c r="E3" s="50" t="s">
        <v>59</v>
      </c>
      <c r="F3" s="57">
        <v>93.0</v>
      </c>
    </row>
    <row r="4" ht="22.5" customHeight="1">
      <c r="A4" s="41">
        <v>203.0</v>
      </c>
      <c r="B4" s="50" t="s">
        <v>63</v>
      </c>
      <c r="C4" s="46">
        <v>45351.0</v>
      </c>
      <c r="D4" s="48">
        <v>4.0</v>
      </c>
      <c r="E4" s="50" t="s">
        <v>67</v>
      </c>
      <c r="F4" s="73">
        <v>87.0</v>
      </c>
    </row>
    <row r="5" ht="22.5" customHeight="1">
      <c r="A5" s="41">
        <v>204.0</v>
      </c>
      <c r="B5" s="50" t="s">
        <v>72</v>
      </c>
      <c r="C5" s="46">
        <v>46042.0</v>
      </c>
      <c r="D5" s="48">
        <v>4.0</v>
      </c>
      <c r="E5" s="50" t="s">
        <v>75</v>
      </c>
      <c r="F5" s="57">
        <v>94.0</v>
      </c>
    </row>
    <row r="6" ht="22.5" customHeight="1">
      <c r="A6" s="41">
        <v>205.0</v>
      </c>
      <c r="B6" s="50" t="s">
        <v>85</v>
      </c>
      <c r="C6" s="46">
        <v>43770.0</v>
      </c>
      <c r="D6" s="48">
        <v>1.0</v>
      </c>
      <c r="E6" s="50" t="s">
        <v>87</v>
      </c>
      <c r="F6" s="73">
        <v>99.0</v>
      </c>
    </row>
    <row r="7" ht="22.5" customHeight="1">
      <c r="A7" s="41">
        <v>206.0</v>
      </c>
      <c r="B7" s="43" t="s">
        <v>92</v>
      </c>
      <c r="C7" s="46">
        <v>46057.0</v>
      </c>
      <c r="D7" s="48">
        <v>1.0</v>
      </c>
      <c r="E7" s="50" t="s">
        <v>95</v>
      </c>
      <c r="F7" s="57">
        <v>92.0</v>
      </c>
    </row>
    <row r="8" ht="22.5" customHeight="1">
      <c r="A8" s="41">
        <v>207.0</v>
      </c>
      <c r="B8" s="43" t="s">
        <v>99</v>
      </c>
      <c r="C8" s="46">
        <v>45112.0</v>
      </c>
      <c r="D8" s="48">
        <v>1.0</v>
      </c>
      <c r="E8" s="50" t="s">
        <v>102</v>
      </c>
      <c r="F8" s="73">
        <v>85.0</v>
      </c>
    </row>
    <row r="9" ht="22.5" customHeight="1">
      <c r="A9" s="41">
        <v>208.0</v>
      </c>
      <c r="B9" s="50" t="s">
        <v>106</v>
      </c>
      <c r="C9" s="46">
        <v>44918.0</v>
      </c>
      <c r="D9" s="48">
        <v>2.0</v>
      </c>
      <c r="E9" s="50" t="s">
        <v>108</v>
      </c>
      <c r="F9" s="73">
        <v>95.0</v>
      </c>
    </row>
    <row r="10" ht="22.5" customHeight="1">
      <c r="A10" s="41">
        <v>209.0</v>
      </c>
      <c r="B10" s="50" t="s">
        <v>114</v>
      </c>
      <c r="C10" s="46">
        <v>45056.0</v>
      </c>
      <c r="D10" s="48">
        <v>3.0</v>
      </c>
      <c r="E10" s="50" t="s">
        <v>117</v>
      </c>
      <c r="F10" s="73">
        <v>91.0</v>
      </c>
    </row>
    <row r="11" ht="22.5" customHeight="1">
      <c r="A11" s="41">
        <v>210.0</v>
      </c>
      <c r="B11" s="50" t="s">
        <v>123</v>
      </c>
      <c r="C11" s="46">
        <v>44998.0</v>
      </c>
      <c r="D11" s="48">
        <v>4.0</v>
      </c>
      <c r="E11" s="50" t="s">
        <v>124</v>
      </c>
      <c r="F11" s="73">
        <v>93.0</v>
      </c>
    </row>
    <row r="12" ht="22.5" customHeight="1">
      <c r="A12" s="41">
        <v>211.0</v>
      </c>
      <c r="B12" s="50" t="s">
        <v>125</v>
      </c>
      <c r="C12" s="46">
        <v>45632.0</v>
      </c>
      <c r="D12" s="48">
        <v>2.0</v>
      </c>
      <c r="E12" s="50" t="s">
        <v>126</v>
      </c>
      <c r="F12" s="73">
        <v>84.0</v>
      </c>
    </row>
    <row r="13" ht="22.5" customHeight="1">
      <c r="A13" s="41">
        <v>212.0</v>
      </c>
      <c r="B13" s="50" t="s">
        <v>127</v>
      </c>
      <c r="C13" s="46">
        <v>45548.0</v>
      </c>
      <c r="D13" s="48">
        <v>5.0</v>
      </c>
      <c r="E13" s="50" t="s">
        <v>128</v>
      </c>
      <c r="F13" s="57">
        <v>91.0</v>
      </c>
    </row>
    <row r="14" ht="22.5" customHeight="1">
      <c r="A14" s="41">
        <v>213.0</v>
      </c>
      <c r="B14" s="50" t="s">
        <v>129</v>
      </c>
      <c r="C14" s="46">
        <v>45720.0</v>
      </c>
      <c r="D14" s="48">
        <v>2.0</v>
      </c>
      <c r="E14" s="50" t="s">
        <v>130</v>
      </c>
      <c r="F14" s="73">
        <v>89.0</v>
      </c>
    </row>
    <row r="15" ht="22.5" customHeight="1">
      <c r="A15" s="41">
        <v>214.0</v>
      </c>
      <c r="B15" s="50" t="s">
        <v>131</v>
      </c>
      <c r="C15" s="46">
        <v>44278.0</v>
      </c>
      <c r="D15" s="48">
        <v>2.0</v>
      </c>
      <c r="E15" s="50" t="s">
        <v>132</v>
      </c>
      <c r="F15" s="87">
        <v>103.0</v>
      </c>
    </row>
    <row r="16" ht="22.5" customHeight="1">
      <c r="A16" s="41">
        <v>215.0</v>
      </c>
      <c r="B16" s="43" t="s">
        <v>134</v>
      </c>
      <c r="C16" s="46">
        <v>45751.0</v>
      </c>
      <c r="D16" s="48">
        <v>1.0</v>
      </c>
      <c r="E16" s="50" t="s">
        <v>136</v>
      </c>
      <c r="F16" s="73">
        <v>93.0</v>
      </c>
    </row>
    <row r="17" ht="22.5" customHeight="1">
      <c r="A17" s="41">
        <v>216.0</v>
      </c>
      <c r="B17" s="50" t="s">
        <v>137</v>
      </c>
      <c r="C17" s="46">
        <v>44917.0</v>
      </c>
      <c r="D17" s="48">
        <v>5.0</v>
      </c>
      <c r="E17" s="50" t="s">
        <v>138</v>
      </c>
      <c r="F17" s="73">
        <v>92.0</v>
      </c>
    </row>
    <row r="18" ht="22.5" customHeight="1">
      <c r="A18" s="41">
        <v>217.0</v>
      </c>
      <c r="B18" s="50" t="s">
        <v>139</v>
      </c>
      <c r="C18" s="46">
        <v>45898.0</v>
      </c>
      <c r="D18" s="48">
        <v>2.0</v>
      </c>
      <c r="E18" s="50" t="s">
        <v>140</v>
      </c>
      <c r="F18" s="57">
        <v>84.0</v>
      </c>
    </row>
    <row r="19" ht="22.5" customHeight="1">
      <c r="A19" s="41">
        <v>218.0</v>
      </c>
      <c r="B19" s="50" t="s">
        <v>141</v>
      </c>
      <c r="C19" s="46">
        <v>46155.0</v>
      </c>
      <c r="D19" s="48">
        <v>1.0</v>
      </c>
      <c r="E19" s="50" t="s">
        <v>142</v>
      </c>
      <c r="F19" s="66">
        <v>86.0</v>
      </c>
    </row>
    <row r="20" ht="22.5" customHeight="1">
      <c r="A20" s="41">
        <v>219.0</v>
      </c>
      <c r="B20" s="50" t="s">
        <v>145</v>
      </c>
      <c r="C20" s="46">
        <v>44009.0</v>
      </c>
      <c r="D20" s="48">
        <v>3.0</v>
      </c>
      <c r="E20" s="50" t="s">
        <v>148</v>
      </c>
      <c r="F20" s="73">
        <v>98.0</v>
      </c>
    </row>
    <row r="21" ht="22.5" customHeight="1">
      <c r="A21" s="41">
        <v>220.0</v>
      </c>
      <c r="B21" s="50" t="s">
        <v>129</v>
      </c>
      <c r="C21" s="46">
        <v>45720.0</v>
      </c>
      <c r="D21" s="48">
        <v>2.0</v>
      </c>
      <c r="E21" s="50" t="s">
        <v>130</v>
      </c>
      <c r="F21" s="73">
        <v>89.0</v>
      </c>
    </row>
    <row r="22" ht="22.5" customHeight="1">
      <c r="A22" s="41">
        <v>221.0</v>
      </c>
      <c r="B22" s="43" t="s">
        <v>150</v>
      </c>
      <c r="C22" s="46">
        <v>45873.0</v>
      </c>
      <c r="D22" s="48">
        <v>2.0</v>
      </c>
      <c r="E22" s="50" t="s">
        <v>151</v>
      </c>
      <c r="F22" s="66">
        <v>89.0</v>
      </c>
    </row>
    <row r="23" ht="22.5" customHeight="1">
      <c r="A23" s="41">
        <v>222.0</v>
      </c>
      <c r="B23" s="43" t="s">
        <v>152</v>
      </c>
      <c r="C23" s="46">
        <v>46213.0</v>
      </c>
      <c r="D23" s="48">
        <v>1.0</v>
      </c>
      <c r="E23" s="50" t="s">
        <v>154</v>
      </c>
      <c r="F23" s="57">
        <v>87.0</v>
      </c>
    </row>
    <row r="24" ht="22.5" customHeight="1">
      <c r="A24" s="41">
        <v>223.0</v>
      </c>
      <c r="B24" s="43" t="s">
        <v>157</v>
      </c>
      <c r="C24" s="46">
        <v>44972.0</v>
      </c>
      <c r="D24" s="48">
        <v>3.0</v>
      </c>
      <c r="E24" s="50" t="s">
        <v>158</v>
      </c>
      <c r="F24" s="73">
        <v>87.0</v>
      </c>
    </row>
    <row r="25" ht="22.5" customHeight="1">
      <c r="A25" s="41">
        <v>224.0</v>
      </c>
      <c r="B25" s="50" t="s">
        <v>159</v>
      </c>
      <c r="C25" s="46">
        <v>45813.0</v>
      </c>
      <c r="D25" s="48">
        <v>3.0</v>
      </c>
      <c r="E25" s="50" t="s">
        <v>160</v>
      </c>
      <c r="F25" s="57">
        <v>89.0</v>
      </c>
    </row>
    <row r="26" ht="22.5" customHeight="1">
      <c r="A26" s="41">
        <v>225.0</v>
      </c>
      <c r="B26" s="50" t="s">
        <v>161</v>
      </c>
      <c r="C26" s="46">
        <v>43347.0</v>
      </c>
      <c r="D26" s="48">
        <v>4.0</v>
      </c>
      <c r="E26" s="50" t="s">
        <v>162</v>
      </c>
      <c r="F26" s="73">
        <v>88.0</v>
      </c>
    </row>
    <row r="27" ht="22.5" customHeight="1">
      <c r="A27" s="41">
        <v>301.0</v>
      </c>
      <c r="B27" s="50" t="s">
        <v>163</v>
      </c>
      <c r="C27" s="46">
        <v>45826.0</v>
      </c>
      <c r="D27" s="48">
        <v>2.0</v>
      </c>
      <c r="E27" s="50" t="s">
        <v>164</v>
      </c>
      <c r="F27" s="73">
        <v>76.0</v>
      </c>
    </row>
    <row r="28" ht="22.5" customHeight="1">
      <c r="A28" s="41">
        <v>302.0</v>
      </c>
      <c r="B28" s="50" t="s">
        <v>166</v>
      </c>
      <c r="C28" s="46">
        <v>43002.0</v>
      </c>
      <c r="D28" s="48">
        <v>3.0</v>
      </c>
      <c r="E28" s="50" t="s">
        <v>168</v>
      </c>
      <c r="F28" s="73">
        <v>87.0</v>
      </c>
    </row>
    <row r="29" ht="22.5" customHeight="1">
      <c r="A29" s="41">
        <v>303.0</v>
      </c>
      <c r="B29" s="50" t="s">
        <v>171</v>
      </c>
      <c r="C29" s="46">
        <v>45909.0</v>
      </c>
      <c r="D29" s="48">
        <v>2.0</v>
      </c>
      <c r="E29" s="50" t="s">
        <v>177</v>
      </c>
      <c r="F29" s="57">
        <v>72.0</v>
      </c>
    </row>
    <row r="30" ht="22.5" customHeight="1">
      <c r="A30" s="41">
        <v>304.0</v>
      </c>
      <c r="B30" s="50" t="s">
        <v>192</v>
      </c>
      <c r="C30" s="46">
        <v>45723.0</v>
      </c>
      <c r="D30" s="48">
        <v>3.0</v>
      </c>
      <c r="E30" s="50" t="s">
        <v>197</v>
      </c>
      <c r="F30" s="57">
        <v>84.0</v>
      </c>
    </row>
    <row r="31" ht="22.5" customHeight="1">
      <c r="A31" s="41">
        <v>305.0</v>
      </c>
      <c r="B31" s="50" t="s">
        <v>201</v>
      </c>
      <c r="C31" s="46">
        <v>45104.0</v>
      </c>
      <c r="D31" s="48">
        <v>2.0</v>
      </c>
      <c r="E31" s="50" t="s">
        <v>218</v>
      </c>
      <c r="F31" s="73">
        <v>92.0</v>
      </c>
    </row>
    <row r="32" ht="22.5" customHeight="1">
      <c r="A32" s="41">
        <v>306.0</v>
      </c>
      <c r="B32" s="50" t="s">
        <v>224</v>
      </c>
      <c r="C32" s="46">
        <v>46098.0</v>
      </c>
      <c r="D32" s="48">
        <v>2.0</v>
      </c>
      <c r="E32" s="50" t="s">
        <v>225</v>
      </c>
      <c r="F32" s="57">
        <v>81.0</v>
      </c>
    </row>
    <row r="33" ht="22.5" customHeight="1">
      <c r="A33" s="41">
        <v>307.0</v>
      </c>
      <c r="B33" s="50" t="s">
        <v>231</v>
      </c>
      <c r="C33" s="46">
        <v>44232.0</v>
      </c>
      <c r="D33" s="48">
        <v>1.0</v>
      </c>
      <c r="E33" s="50" t="s">
        <v>232</v>
      </c>
      <c r="F33" s="73">
        <v>86.0</v>
      </c>
    </row>
    <row r="34" ht="22.5" customHeight="1">
      <c r="A34" s="41">
        <v>308.0</v>
      </c>
      <c r="B34" s="50" t="s">
        <v>233</v>
      </c>
      <c r="C34" s="46">
        <v>45644.0</v>
      </c>
      <c r="D34" s="48">
        <v>5.0</v>
      </c>
      <c r="E34" s="50" t="s">
        <v>234</v>
      </c>
      <c r="F34" s="73">
        <v>99.0</v>
      </c>
    </row>
    <row r="35" ht="22.5" customHeight="1">
      <c r="A35" s="41">
        <v>309.0</v>
      </c>
      <c r="B35" s="50" t="s">
        <v>235</v>
      </c>
      <c r="C35" s="46">
        <v>45729.0</v>
      </c>
      <c r="D35" s="48">
        <v>2.0</v>
      </c>
      <c r="E35" s="50" t="s">
        <v>236</v>
      </c>
      <c r="F35" s="73">
        <v>91.0</v>
      </c>
    </row>
    <row r="36" ht="22.5" customHeight="1">
      <c r="A36" s="41">
        <v>310.0</v>
      </c>
      <c r="B36" s="50" t="s">
        <v>238</v>
      </c>
      <c r="C36" s="46">
        <v>45754.0</v>
      </c>
      <c r="D36" s="48">
        <v>1.0</v>
      </c>
      <c r="E36" s="50" t="s">
        <v>239</v>
      </c>
      <c r="F36" s="73">
        <v>98.0</v>
      </c>
    </row>
    <row r="37" ht="22.5" customHeight="1">
      <c r="A37" s="41">
        <v>311.0</v>
      </c>
      <c r="B37" s="43" t="s">
        <v>240</v>
      </c>
      <c r="C37" s="46">
        <v>45338.0</v>
      </c>
      <c r="D37" s="48">
        <v>2.0</v>
      </c>
      <c r="E37" s="50" t="s">
        <v>241</v>
      </c>
      <c r="F37" s="73">
        <v>93.0</v>
      </c>
    </row>
    <row r="38" ht="22.5" customHeight="1">
      <c r="A38" s="41">
        <v>312.0</v>
      </c>
      <c r="B38" s="50" t="s">
        <v>243</v>
      </c>
      <c r="C38" s="46">
        <v>45962.0</v>
      </c>
      <c r="D38" s="48">
        <v>3.0</v>
      </c>
      <c r="E38" s="50" t="s">
        <v>244</v>
      </c>
      <c r="F38" s="57">
        <v>94.0</v>
      </c>
    </row>
    <row r="39" ht="22.5" customHeight="1">
      <c r="A39" s="41">
        <v>313.0</v>
      </c>
      <c r="B39" s="50" t="s">
        <v>245</v>
      </c>
      <c r="C39" s="46">
        <v>45888.0</v>
      </c>
      <c r="D39" s="48">
        <v>4.0</v>
      </c>
      <c r="E39" s="50" t="s">
        <v>246</v>
      </c>
      <c r="F39" s="57">
        <v>89.0</v>
      </c>
    </row>
    <row r="40" ht="22.5" customHeight="1">
      <c r="A40" s="41">
        <v>314.0</v>
      </c>
      <c r="B40" s="50" t="s">
        <v>247</v>
      </c>
      <c r="C40" s="46">
        <v>45194.0</v>
      </c>
      <c r="D40" s="48">
        <v>2.0</v>
      </c>
      <c r="E40" s="50" t="s">
        <v>248</v>
      </c>
      <c r="F40" s="73">
        <v>93.0</v>
      </c>
    </row>
    <row r="41" ht="22.5" customHeight="1">
      <c r="A41" s="41">
        <v>315.0</v>
      </c>
      <c r="B41" s="50" t="s">
        <v>249</v>
      </c>
      <c r="C41" s="46">
        <v>45602.0</v>
      </c>
      <c r="D41" s="48">
        <v>3.0</v>
      </c>
      <c r="E41" s="50" t="s">
        <v>250</v>
      </c>
      <c r="F41" s="73">
        <v>94.0</v>
      </c>
    </row>
    <row r="42" ht="22.5" customHeight="1">
      <c r="A42" s="41">
        <v>316.0</v>
      </c>
      <c r="B42" s="50" t="s">
        <v>251</v>
      </c>
      <c r="C42" s="46">
        <v>44231.0</v>
      </c>
      <c r="D42" s="48">
        <v>2.0</v>
      </c>
      <c r="E42" s="50" t="s">
        <v>252</v>
      </c>
      <c r="F42" s="73">
        <v>96.0</v>
      </c>
    </row>
    <row r="43" ht="22.5" customHeight="1">
      <c r="A43" s="41">
        <v>317.0</v>
      </c>
      <c r="B43" s="50" t="s">
        <v>253</v>
      </c>
      <c r="C43" s="46">
        <v>45397.0</v>
      </c>
      <c r="D43" s="48">
        <v>1.0</v>
      </c>
      <c r="E43" s="50" t="s">
        <v>254</v>
      </c>
      <c r="F43" s="73">
        <v>97.0</v>
      </c>
    </row>
    <row r="44" ht="22.5" customHeight="1">
      <c r="A44" s="41">
        <v>318.0</v>
      </c>
      <c r="B44" s="50" t="s">
        <v>255</v>
      </c>
      <c r="C44" s="46">
        <v>43296.0</v>
      </c>
      <c r="D44" s="48">
        <v>2.0</v>
      </c>
      <c r="E44" s="50" t="s">
        <v>256</v>
      </c>
      <c r="F44" s="73">
        <v>85.0</v>
      </c>
    </row>
    <row r="45" ht="22.5" customHeight="1">
      <c r="A45" s="41">
        <v>319.0</v>
      </c>
      <c r="B45" s="50" t="s">
        <v>257</v>
      </c>
      <c r="C45" s="46">
        <v>44653.0</v>
      </c>
      <c r="D45" s="48">
        <v>4.0</v>
      </c>
      <c r="E45" s="50" t="s">
        <v>258</v>
      </c>
      <c r="F45" s="73">
        <v>87.0</v>
      </c>
    </row>
    <row r="46" ht="22.5" customHeight="1">
      <c r="A46" s="41">
        <v>320.0</v>
      </c>
      <c r="B46" s="43" t="s">
        <v>216</v>
      </c>
      <c r="C46" s="46">
        <v>45547.0</v>
      </c>
      <c r="D46" s="48">
        <v>3.0</v>
      </c>
      <c r="E46" s="50" t="s">
        <v>259</v>
      </c>
      <c r="F46" s="73">
        <v>93.0</v>
      </c>
    </row>
    <row r="47" ht="22.5" customHeight="1">
      <c r="A47" s="41">
        <v>321.0</v>
      </c>
      <c r="C47" s="46"/>
      <c r="D47" s="74"/>
      <c r="E47" s="108"/>
      <c r="F47" s="57"/>
    </row>
    <row r="48" ht="22.5" customHeight="1">
      <c r="A48" s="41">
        <v>322.0</v>
      </c>
      <c r="B48" s="50" t="s">
        <v>261</v>
      </c>
      <c r="C48" s="46">
        <v>45621.0</v>
      </c>
      <c r="D48" s="48">
        <v>2.0</v>
      </c>
      <c r="E48" s="50" t="s">
        <v>262</v>
      </c>
      <c r="F48" s="73">
        <v>85.0</v>
      </c>
    </row>
    <row r="49" ht="22.5" customHeight="1">
      <c r="A49" s="41">
        <v>323.0</v>
      </c>
      <c r="B49" s="50" t="s">
        <v>263</v>
      </c>
      <c r="C49" s="46">
        <v>43436.0</v>
      </c>
      <c r="D49" s="48">
        <v>5.0</v>
      </c>
      <c r="E49" s="50" t="s">
        <v>266</v>
      </c>
      <c r="F49" s="57">
        <v>96.0</v>
      </c>
    </row>
    <row r="50" ht="22.5" customHeight="1">
      <c r="A50" s="41">
        <v>324.0</v>
      </c>
      <c r="B50" s="50" t="s">
        <v>268</v>
      </c>
      <c r="C50" s="46">
        <v>45413.0</v>
      </c>
      <c r="D50" s="48">
        <v>2.0</v>
      </c>
      <c r="E50" s="50" t="s">
        <v>269</v>
      </c>
      <c r="F50" s="73">
        <v>85.0</v>
      </c>
    </row>
    <row r="51" ht="22.5" customHeight="1">
      <c r="A51" s="41">
        <v>325.0</v>
      </c>
      <c r="B51" s="50" t="s">
        <v>272</v>
      </c>
      <c r="C51" s="46">
        <v>45992.0</v>
      </c>
      <c r="D51" s="48">
        <v>2.0</v>
      </c>
      <c r="E51" s="50" t="s">
        <v>273</v>
      </c>
      <c r="F51" s="57">
        <v>92.0</v>
      </c>
    </row>
  </sheetData>
  <dataValidations>
    <dataValidation type="custom" allowBlank="1" showDropDown="1" sqref="C2:C51 E2:E51">
      <formula1>OR(NOT(ISERROR(DATEVALUE(C2))), AND(ISNUMBER(C2), LEFT(CELL("format", C2))="D"))</formula1>
    </dataValidation>
    <dataValidation type="list" allowBlank="1" sqref="D2:D51">
      <formula1>"5,4,3,2,1"</formula1>
    </dataValidation>
    <dataValidation type="custom" allowBlank="1" showDropDown="1" sqref="A2:A51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  <c r="H1" s="2"/>
      <c r="I1" s="3" t="s">
        <v>0</v>
      </c>
      <c r="J1" s="5"/>
      <c r="K1" s="5"/>
      <c r="L1" s="5"/>
      <c r="M1" s="5"/>
      <c r="N1" s="5"/>
      <c r="O1" s="5"/>
      <c r="P1" s="5"/>
      <c r="Q1" s="7"/>
      <c r="R1" s="3" t="s">
        <v>2</v>
      </c>
      <c r="S1" s="5"/>
      <c r="T1" s="11" t="s">
        <v>4</v>
      </c>
      <c r="U1" s="5"/>
      <c r="V1" s="13"/>
      <c r="W1" s="15"/>
      <c r="X1" s="1"/>
    </row>
    <row r="2">
      <c r="A2" s="17"/>
      <c r="B2" s="19"/>
      <c r="C2" s="20" t="s">
        <v>5</v>
      </c>
      <c r="D2" s="21"/>
      <c r="E2" s="22" t="s">
        <v>6</v>
      </c>
      <c r="F2" s="24"/>
      <c r="G2" s="26" t="s">
        <v>8</v>
      </c>
      <c r="H2" s="26" t="s">
        <v>8</v>
      </c>
      <c r="I2" s="26" t="s">
        <v>9</v>
      </c>
      <c r="J2" s="26" t="s">
        <v>10</v>
      </c>
      <c r="K2" s="28" t="s">
        <v>11</v>
      </c>
      <c r="L2" s="26" t="s">
        <v>11</v>
      </c>
      <c r="M2" s="24"/>
      <c r="N2" s="26" t="s">
        <v>12</v>
      </c>
      <c r="O2" s="24"/>
      <c r="P2" s="26" t="s">
        <v>12</v>
      </c>
      <c r="Q2" s="24"/>
      <c r="R2" s="26" t="s">
        <v>13</v>
      </c>
      <c r="S2" s="26" t="s">
        <v>14</v>
      </c>
      <c r="T2" s="32" t="s">
        <v>15</v>
      </c>
      <c r="U2" s="34" t="s">
        <v>17</v>
      </c>
      <c r="V2" s="38"/>
      <c r="W2" s="42" t="s">
        <v>23</v>
      </c>
      <c r="X2" s="44" t="s">
        <v>23</v>
      </c>
    </row>
    <row r="3">
      <c r="A3" s="47"/>
      <c r="B3" s="19"/>
      <c r="C3" s="49"/>
      <c r="D3" s="13"/>
      <c r="E3" s="52" t="s">
        <v>30</v>
      </c>
      <c r="F3" s="53"/>
      <c r="G3" s="54" t="s">
        <v>32</v>
      </c>
      <c r="H3" s="54" t="s">
        <v>34</v>
      </c>
      <c r="I3" s="56" t="s">
        <v>35</v>
      </c>
      <c r="J3" s="56" t="s">
        <v>36</v>
      </c>
      <c r="K3" s="56" t="s">
        <v>38</v>
      </c>
      <c r="L3" s="54" t="s">
        <v>39</v>
      </c>
      <c r="M3" s="58"/>
      <c r="N3" s="56" t="s">
        <v>40</v>
      </c>
      <c r="O3" s="58"/>
      <c r="P3" s="56" t="s">
        <v>41</v>
      </c>
      <c r="Q3" s="58"/>
      <c r="R3" s="56" t="s">
        <v>42</v>
      </c>
      <c r="S3" s="56" t="s">
        <v>44</v>
      </c>
      <c r="T3" s="61"/>
      <c r="U3" s="25"/>
      <c r="V3" s="27"/>
      <c r="W3" s="27"/>
      <c r="X3" s="62"/>
    </row>
    <row r="4">
      <c r="A4" s="63">
        <v>1.0</v>
      </c>
      <c r="B4" s="4">
        <v>201.0</v>
      </c>
      <c r="C4" s="6" t="s">
        <v>1</v>
      </c>
      <c r="D4" s="8" t="s">
        <v>3</v>
      </c>
      <c r="E4" s="9">
        <v>2.0</v>
      </c>
      <c r="F4" s="10"/>
      <c r="G4" s="12"/>
      <c r="H4" s="14"/>
      <c r="I4" s="16"/>
      <c r="J4" s="18">
        <v>1.0</v>
      </c>
      <c r="K4" s="12"/>
      <c r="L4" s="14"/>
      <c r="M4" s="16"/>
      <c r="N4" s="16"/>
      <c r="O4" s="16"/>
      <c r="P4" s="16"/>
      <c r="Q4" s="16"/>
      <c r="R4" s="16"/>
      <c r="S4" s="16"/>
      <c r="T4" s="23">
        <v>0.0</v>
      </c>
      <c r="U4" s="25"/>
      <c r="V4" s="27"/>
      <c r="W4" s="29">
        <v>0.0</v>
      </c>
      <c r="X4" s="31">
        <v>0.0</v>
      </c>
    </row>
    <row r="5">
      <c r="A5" s="63">
        <v>2.0</v>
      </c>
      <c r="B5" s="33">
        <v>202.0</v>
      </c>
      <c r="C5" s="36" t="s">
        <v>18</v>
      </c>
      <c r="D5" s="37" t="s">
        <v>3</v>
      </c>
      <c r="E5" s="40"/>
      <c r="F5" s="10"/>
      <c r="G5" s="18">
        <v>1.0</v>
      </c>
      <c r="H5" s="40"/>
      <c r="I5" s="10"/>
      <c r="J5" s="12"/>
      <c r="K5" s="12"/>
      <c r="L5" s="40"/>
      <c r="M5" s="10"/>
      <c r="N5" s="10"/>
      <c r="O5" s="10"/>
      <c r="P5" s="10"/>
      <c r="Q5" s="10"/>
      <c r="R5" s="10"/>
      <c r="S5" s="10"/>
      <c r="T5" s="23">
        <v>0.0</v>
      </c>
      <c r="U5" s="25"/>
      <c r="V5" s="27"/>
      <c r="W5" s="29">
        <v>0.0</v>
      </c>
      <c r="X5" s="31">
        <v>0.0</v>
      </c>
    </row>
    <row r="6">
      <c r="A6" s="63">
        <v>3.0</v>
      </c>
      <c r="B6" s="33">
        <v>203.0</v>
      </c>
      <c r="C6" s="36" t="s">
        <v>25</v>
      </c>
      <c r="D6" s="37" t="s">
        <v>3</v>
      </c>
      <c r="E6" s="9">
        <v>3.0</v>
      </c>
      <c r="F6" s="10"/>
      <c r="G6" s="12"/>
      <c r="H6" s="40"/>
      <c r="I6" s="45">
        <v>1.0</v>
      </c>
      <c r="J6" s="12"/>
      <c r="K6" s="12"/>
      <c r="L6" s="40"/>
      <c r="M6" s="10"/>
      <c r="N6" s="10"/>
      <c r="O6" s="10"/>
      <c r="P6" s="10"/>
      <c r="Q6" s="10"/>
      <c r="R6" s="10"/>
      <c r="S6" s="10"/>
      <c r="T6" s="23">
        <v>0.0</v>
      </c>
      <c r="U6" s="25"/>
      <c r="V6" s="27"/>
      <c r="W6" s="29">
        <v>0.0</v>
      </c>
      <c r="X6" s="31">
        <v>0.0</v>
      </c>
    </row>
    <row r="7">
      <c r="A7" s="63">
        <v>4.0</v>
      </c>
      <c r="B7" s="33">
        <v>204.0</v>
      </c>
      <c r="C7" s="51" t="s">
        <v>26</v>
      </c>
      <c r="D7" s="37" t="s">
        <v>3</v>
      </c>
      <c r="E7" s="40"/>
      <c r="F7" s="10"/>
      <c r="G7" s="12"/>
      <c r="H7" s="40"/>
      <c r="I7" s="10"/>
      <c r="J7" s="18">
        <v>1.0</v>
      </c>
      <c r="K7" s="12"/>
      <c r="L7" s="40"/>
      <c r="M7" s="10"/>
      <c r="N7" s="10"/>
      <c r="O7" s="10"/>
      <c r="P7" s="10"/>
      <c r="Q7" s="10"/>
      <c r="R7" s="10"/>
      <c r="S7" s="10"/>
      <c r="T7" s="23">
        <v>0.0</v>
      </c>
      <c r="U7" s="25"/>
      <c r="V7" s="27"/>
      <c r="W7" s="29">
        <v>0.0</v>
      </c>
      <c r="X7" s="31">
        <v>0.0</v>
      </c>
    </row>
    <row r="8">
      <c r="A8" s="63">
        <v>5.0</v>
      </c>
      <c r="B8" s="33">
        <v>205.0</v>
      </c>
      <c r="C8" s="36" t="s">
        <v>31</v>
      </c>
      <c r="D8" s="37" t="s">
        <v>3</v>
      </c>
      <c r="E8" s="40"/>
      <c r="F8" s="10"/>
      <c r="G8" s="12"/>
      <c r="H8" s="40"/>
      <c r="I8" s="10"/>
      <c r="J8" s="12"/>
      <c r="K8" s="12"/>
      <c r="L8" s="40"/>
      <c r="M8" s="10"/>
      <c r="N8" s="10"/>
      <c r="O8" s="10"/>
      <c r="P8" s="10"/>
      <c r="Q8" s="10"/>
      <c r="R8" s="10"/>
      <c r="S8" s="10"/>
      <c r="T8" s="23">
        <v>0.0</v>
      </c>
      <c r="U8" s="25"/>
      <c r="V8" s="27"/>
      <c r="W8" s="29">
        <v>0.0</v>
      </c>
      <c r="X8" s="31">
        <v>0.0</v>
      </c>
    </row>
    <row r="9">
      <c r="A9" s="63">
        <v>6.0</v>
      </c>
      <c r="B9" s="33">
        <v>206.0</v>
      </c>
      <c r="C9" s="51" t="s">
        <v>33</v>
      </c>
      <c r="D9" s="55" t="s">
        <v>3</v>
      </c>
      <c r="E9" s="40"/>
      <c r="F9" s="10"/>
      <c r="G9" s="18">
        <v>1.0</v>
      </c>
      <c r="H9" s="40"/>
      <c r="I9" s="10"/>
      <c r="J9" s="12"/>
      <c r="K9" s="12"/>
      <c r="L9" s="40"/>
      <c r="M9" s="10"/>
      <c r="N9" s="10"/>
      <c r="O9" s="10"/>
      <c r="P9" s="10"/>
      <c r="Q9" s="10"/>
      <c r="R9" s="10"/>
      <c r="S9" s="10"/>
      <c r="T9" s="23">
        <v>0.0</v>
      </c>
      <c r="U9" s="25"/>
      <c r="V9" s="27"/>
      <c r="W9" s="29">
        <v>0.0</v>
      </c>
      <c r="X9" s="31">
        <v>0.0</v>
      </c>
    </row>
    <row r="10">
      <c r="A10" s="63">
        <v>7.0</v>
      </c>
      <c r="B10" s="33">
        <v>207.0</v>
      </c>
      <c r="C10" s="36" t="s">
        <v>37</v>
      </c>
      <c r="D10" s="37" t="s">
        <v>3</v>
      </c>
      <c r="E10" s="40"/>
      <c r="F10" s="10"/>
      <c r="G10" s="12"/>
      <c r="H10" s="40"/>
      <c r="I10" s="10"/>
      <c r="J10" s="12"/>
      <c r="K10" s="12"/>
      <c r="L10" s="40"/>
      <c r="M10" s="10"/>
      <c r="N10" s="10"/>
      <c r="O10" s="10"/>
      <c r="P10" s="10"/>
      <c r="Q10" s="10"/>
      <c r="R10" s="10"/>
      <c r="S10" s="10"/>
      <c r="T10" s="23">
        <v>0.0</v>
      </c>
      <c r="U10" s="25"/>
      <c r="V10" s="27"/>
      <c r="W10" s="29">
        <v>0.0</v>
      </c>
      <c r="X10" s="59">
        <v>0.0</v>
      </c>
    </row>
    <row r="11">
      <c r="A11" s="63">
        <v>8.0</v>
      </c>
      <c r="B11" s="33">
        <v>208.0</v>
      </c>
      <c r="C11" s="36" t="s">
        <v>43</v>
      </c>
      <c r="D11" s="37" t="s">
        <v>3</v>
      </c>
      <c r="E11" s="40"/>
      <c r="F11" s="10"/>
      <c r="G11" s="12"/>
      <c r="H11" s="40"/>
      <c r="I11" s="10"/>
      <c r="J11" s="18">
        <v>2.0</v>
      </c>
      <c r="K11" s="12"/>
      <c r="L11" s="40"/>
      <c r="M11" s="10"/>
      <c r="N11" s="10"/>
      <c r="O11" s="10"/>
      <c r="P11" s="10"/>
      <c r="Q11" s="10"/>
      <c r="R11" s="10"/>
      <c r="S11" s="10"/>
      <c r="T11" s="23">
        <v>0.0</v>
      </c>
      <c r="U11" s="25"/>
      <c r="V11" s="27"/>
      <c r="W11" s="29">
        <v>0.0</v>
      </c>
      <c r="X11" s="59">
        <v>0.0</v>
      </c>
    </row>
    <row r="12">
      <c r="A12" s="63">
        <v>9.0</v>
      </c>
      <c r="B12" s="33">
        <v>209.0</v>
      </c>
      <c r="C12" s="51" t="s">
        <v>45</v>
      </c>
      <c r="D12" s="55" t="s">
        <v>3</v>
      </c>
      <c r="E12" s="40"/>
      <c r="F12" s="10"/>
      <c r="G12" s="12"/>
      <c r="H12" s="40"/>
      <c r="I12" s="10"/>
      <c r="J12" s="18">
        <v>1.0</v>
      </c>
      <c r="K12" s="18">
        <v>1.0</v>
      </c>
      <c r="L12" s="40"/>
      <c r="M12" s="10"/>
      <c r="N12" s="10"/>
      <c r="O12" s="10"/>
      <c r="P12" s="10"/>
      <c r="Q12" s="10"/>
      <c r="R12" s="10"/>
      <c r="S12" s="10"/>
      <c r="T12" s="23">
        <v>0.0</v>
      </c>
      <c r="U12" s="25"/>
      <c r="V12" s="27"/>
      <c r="W12" s="29">
        <v>0.0</v>
      </c>
      <c r="X12" s="59">
        <v>0.0</v>
      </c>
    </row>
    <row r="13">
      <c r="A13" s="63">
        <v>10.0</v>
      </c>
      <c r="B13" s="33">
        <v>210.0</v>
      </c>
      <c r="C13" s="36" t="s">
        <v>47</v>
      </c>
      <c r="D13" s="37" t="s">
        <v>3</v>
      </c>
      <c r="E13" s="40"/>
      <c r="F13" s="10"/>
      <c r="G13" s="12"/>
      <c r="H13" s="40"/>
      <c r="I13" s="45">
        <v>2.0</v>
      </c>
      <c r="J13" s="18">
        <v>1.0</v>
      </c>
      <c r="K13" s="12"/>
      <c r="L13" s="40"/>
      <c r="M13" s="10"/>
      <c r="N13" s="10"/>
      <c r="O13" s="10"/>
      <c r="P13" s="10"/>
      <c r="Q13" s="10"/>
      <c r="R13" s="10"/>
      <c r="S13" s="10"/>
      <c r="T13" s="23">
        <v>0.0</v>
      </c>
      <c r="U13" s="25"/>
      <c r="V13" s="27"/>
      <c r="W13" s="29">
        <v>0.0</v>
      </c>
      <c r="X13" s="59">
        <v>0.0</v>
      </c>
    </row>
    <row r="14">
      <c r="A14" s="63">
        <v>11.0</v>
      </c>
      <c r="B14" s="33">
        <v>211.0</v>
      </c>
      <c r="C14" s="36" t="s">
        <v>48</v>
      </c>
      <c r="D14" s="37" t="s">
        <v>3</v>
      </c>
      <c r="E14" s="9">
        <v>2.0</v>
      </c>
      <c r="F14" s="10"/>
      <c r="G14" s="12"/>
      <c r="H14" s="40"/>
      <c r="I14" s="45">
        <v>1.0</v>
      </c>
      <c r="J14" s="12"/>
      <c r="K14" s="12"/>
      <c r="L14" s="40"/>
      <c r="M14" s="10"/>
      <c r="N14" s="10"/>
      <c r="O14" s="10"/>
      <c r="P14" s="10"/>
      <c r="Q14" s="10"/>
      <c r="R14" s="10"/>
      <c r="S14" s="10"/>
      <c r="T14" s="23">
        <v>350.0</v>
      </c>
      <c r="U14" s="25"/>
      <c r="V14" s="27"/>
      <c r="W14" s="29">
        <v>0.0</v>
      </c>
      <c r="X14" s="59">
        <v>0.0</v>
      </c>
    </row>
    <row r="15">
      <c r="A15" s="63">
        <v>12.0</v>
      </c>
      <c r="B15" s="33">
        <v>212.0</v>
      </c>
      <c r="C15" s="36" t="s">
        <v>52</v>
      </c>
      <c r="D15" s="37" t="s">
        <v>3</v>
      </c>
      <c r="E15" s="40"/>
      <c r="F15" s="10"/>
      <c r="G15" s="12"/>
      <c r="H15" s="40"/>
      <c r="I15" s="10"/>
      <c r="J15" s="12"/>
      <c r="K15" s="12"/>
      <c r="L15" s="40"/>
      <c r="M15" s="10"/>
      <c r="N15" s="10"/>
      <c r="O15" s="10"/>
      <c r="P15" s="10"/>
      <c r="Q15" s="10"/>
      <c r="R15" s="10"/>
      <c r="S15" s="10"/>
      <c r="T15" s="23">
        <v>0.0</v>
      </c>
      <c r="U15" s="25"/>
      <c r="V15" s="27"/>
      <c r="W15" s="29">
        <v>0.0</v>
      </c>
      <c r="X15" s="59">
        <v>0.0</v>
      </c>
    </row>
    <row r="16">
      <c r="A16" s="63">
        <v>13.0</v>
      </c>
      <c r="B16" s="33">
        <v>213.0</v>
      </c>
      <c r="C16" s="36" t="s">
        <v>56</v>
      </c>
      <c r="D16" s="37" t="s">
        <v>3</v>
      </c>
      <c r="E16" s="40"/>
      <c r="F16" s="10"/>
      <c r="G16" s="18">
        <v>1.0</v>
      </c>
      <c r="H16" s="40"/>
      <c r="I16" s="10"/>
      <c r="J16" s="12"/>
      <c r="K16" s="12"/>
      <c r="L16" s="40"/>
      <c r="M16" s="10"/>
      <c r="N16" s="10"/>
      <c r="O16" s="10"/>
      <c r="P16" s="10"/>
      <c r="Q16" s="10"/>
      <c r="R16" s="10"/>
      <c r="S16" s="10"/>
      <c r="T16" s="23">
        <v>0.0</v>
      </c>
      <c r="U16" s="25"/>
      <c r="V16" s="27"/>
      <c r="W16" s="29">
        <v>0.0</v>
      </c>
      <c r="X16" s="59">
        <v>0.0</v>
      </c>
    </row>
    <row r="17">
      <c r="A17" s="63">
        <v>14.0</v>
      </c>
      <c r="B17" s="33">
        <v>214.0</v>
      </c>
      <c r="C17" s="51" t="s">
        <v>58</v>
      </c>
      <c r="D17" s="37" t="s">
        <v>3</v>
      </c>
      <c r="E17" s="40"/>
      <c r="F17" s="10"/>
      <c r="G17" s="12"/>
      <c r="H17" s="40"/>
      <c r="I17" s="10"/>
      <c r="J17" s="12"/>
      <c r="K17" s="12"/>
      <c r="L17" s="40"/>
      <c r="M17" s="10"/>
      <c r="N17" s="10"/>
      <c r="O17" s="10"/>
      <c r="P17" s="10"/>
      <c r="Q17" s="10"/>
      <c r="R17" s="10"/>
      <c r="S17" s="10"/>
      <c r="T17" s="23">
        <v>0.0</v>
      </c>
      <c r="U17" s="25"/>
      <c r="V17" s="27"/>
      <c r="W17" s="29">
        <v>0.0</v>
      </c>
      <c r="X17" s="59">
        <v>0.0</v>
      </c>
    </row>
    <row r="18">
      <c r="A18" s="63">
        <v>15.0</v>
      </c>
      <c r="B18" s="33">
        <v>215.0</v>
      </c>
      <c r="C18" s="36" t="s">
        <v>60</v>
      </c>
      <c r="D18" s="37" t="s">
        <v>3</v>
      </c>
      <c r="E18" s="40"/>
      <c r="F18" s="10"/>
      <c r="G18" s="18">
        <v>1.0</v>
      </c>
      <c r="H18" s="40"/>
      <c r="I18" s="10"/>
      <c r="J18" s="12"/>
      <c r="K18" s="18">
        <v>1.0</v>
      </c>
      <c r="L18" s="40"/>
      <c r="M18" s="10"/>
      <c r="N18" s="10"/>
      <c r="O18" s="10"/>
      <c r="P18" s="10"/>
      <c r="Q18" s="10"/>
      <c r="R18" s="10"/>
      <c r="S18" s="10"/>
      <c r="T18" s="23">
        <v>0.0</v>
      </c>
      <c r="U18" s="25"/>
      <c r="V18" s="27"/>
      <c r="W18" s="29">
        <v>0.0</v>
      </c>
      <c r="X18" s="59">
        <v>0.0</v>
      </c>
    </row>
    <row r="19">
      <c r="A19" s="63">
        <v>16.0</v>
      </c>
      <c r="B19" s="33">
        <v>216.0</v>
      </c>
      <c r="C19" s="36" t="s">
        <v>61</v>
      </c>
      <c r="D19" s="37" t="s">
        <v>3</v>
      </c>
      <c r="E19" s="40"/>
      <c r="F19" s="10"/>
      <c r="G19" s="12"/>
      <c r="H19" s="40"/>
      <c r="I19" s="10"/>
      <c r="J19" s="12"/>
      <c r="K19" s="12"/>
      <c r="L19" s="40"/>
      <c r="M19" s="10"/>
      <c r="N19" s="10"/>
      <c r="O19" s="10"/>
      <c r="P19" s="10"/>
      <c r="Q19" s="10"/>
      <c r="R19" s="10"/>
      <c r="S19" s="10"/>
      <c r="T19" s="23">
        <v>0.0</v>
      </c>
      <c r="U19" s="25"/>
      <c r="V19" s="27"/>
      <c r="W19" s="29">
        <v>0.0</v>
      </c>
      <c r="X19" s="59">
        <v>0.0</v>
      </c>
    </row>
    <row r="20">
      <c r="A20" s="63">
        <v>17.0</v>
      </c>
      <c r="B20" s="33">
        <v>217.0</v>
      </c>
      <c r="C20" s="36" t="s">
        <v>62</v>
      </c>
      <c r="D20" s="37" t="s">
        <v>3</v>
      </c>
      <c r="E20" s="40"/>
      <c r="F20" s="10"/>
      <c r="G20" s="18">
        <v>3.0</v>
      </c>
      <c r="H20" s="40"/>
      <c r="I20" s="10"/>
      <c r="J20" s="12"/>
      <c r="K20" s="18">
        <v>1.0</v>
      </c>
      <c r="L20" s="40"/>
      <c r="M20" s="10"/>
      <c r="N20" s="10"/>
      <c r="O20" s="10"/>
      <c r="P20" s="10"/>
      <c r="Q20" s="10"/>
      <c r="R20" s="10"/>
      <c r="S20" s="10"/>
      <c r="T20" s="23">
        <v>0.0</v>
      </c>
      <c r="U20" s="68"/>
      <c r="V20" s="69"/>
      <c r="W20" s="29">
        <v>0.0</v>
      </c>
      <c r="X20" s="70">
        <v>0.0</v>
      </c>
    </row>
    <row r="21">
      <c r="A21" s="63">
        <v>18.0</v>
      </c>
      <c r="B21" s="33">
        <v>218.0</v>
      </c>
      <c r="C21" s="36" t="s">
        <v>64</v>
      </c>
      <c r="D21" s="37" t="s">
        <v>3</v>
      </c>
      <c r="E21" s="9">
        <v>2.0</v>
      </c>
      <c r="F21" s="10"/>
      <c r="G21" s="12"/>
      <c r="H21" s="40"/>
      <c r="I21" s="10"/>
      <c r="J21" s="12"/>
      <c r="K21" s="12"/>
      <c r="L21" s="40"/>
      <c r="M21" s="10"/>
      <c r="N21" s="10"/>
      <c r="O21" s="10"/>
      <c r="P21" s="10"/>
      <c r="Q21" s="10"/>
      <c r="R21" s="10"/>
      <c r="S21" s="10"/>
      <c r="T21" s="23">
        <v>0.0</v>
      </c>
      <c r="U21" s="25"/>
      <c r="V21" s="27"/>
      <c r="W21" s="29">
        <v>0.0</v>
      </c>
      <c r="X21" s="59">
        <v>0.0</v>
      </c>
    </row>
    <row r="22">
      <c r="A22" s="63">
        <v>19.0</v>
      </c>
      <c r="B22" s="33">
        <v>219.0</v>
      </c>
      <c r="C22" s="36" t="s">
        <v>65</v>
      </c>
      <c r="D22" s="37" t="s">
        <v>3</v>
      </c>
      <c r="E22" s="40"/>
      <c r="F22" s="71"/>
      <c r="G22" s="12"/>
      <c r="H22" s="40"/>
      <c r="I22" s="45">
        <v>2.0</v>
      </c>
      <c r="J22" s="12"/>
      <c r="K22" s="18">
        <v>1.0</v>
      </c>
      <c r="L22" s="9">
        <v>1.0</v>
      </c>
      <c r="M22" s="10"/>
      <c r="N22" s="10"/>
      <c r="O22" s="10"/>
      <c r="P22" s="10"/>
      <c r="Q22" s="10"/>
      <c r="R22" s="10"/>
      <c r="S22" s="10"/>
      <c r="T22" s="23">
        <v>0.0</v>
      </c>
      <c r="U22" s="25"/>
      <c r="V22" s="27"/>
      <c r="W22" s="29">
        <v>0.0</v>
      </c>
      <c r="X22" s="59">
        <v>0.0</v>
      </c>
    </row>
    <row r="23">
      <c r="A23" s="63">
        <v>20.0</v>
      </c>
      <c r="B23" s="33">
        <v>220.0</v>
      </c>
      <c r="C23" s="36" t="s">
        <v>68</v>
      </c>
      <c r="D23" s="37" t="s">
        <v>3</v>
      </c>
      <c r="E23" s="40"/>
      <c r="F23" s="10"/>
      <c r="G23" s="12"/>
      <c r="H23" s="40"/>
      <c r="I23" s="10"/>
      <c r="J23" s="12"/>
      <c r="K23" s="12"/>
      <c r="L23" s="40"/>
      <c r="M23" s="10"/>
      <c r="N23" s="10"/>
      <c r="O23" s="10"/>
      <c r="P23" s="10"/>
      <c r="Q23" s="10"/>
      <c r="R23" s="10"/>
      <c r="S23" s="10"/>
      <c r="T23" s="23">
        <v>0.0</v>
      </c>
      <c r="U23" s="25"/>
      <c r="V23" s="27"/>
      <c r="W23" s="29">
        <v>0.0</v>
      </c>
      <c r="X23" s="59">
        <v>0.0</v>
      </c>
    </row>
    <row r="24">
      <c r="A24" s="63">
        <v>21.0</v>
      </c>
      <c r="B24" s="75">
        <v>221.0</v>
      </c>
      <c r="C24" s="76" t="s">
        <v>70</v>
      </c>
      <c r="D24" s="37" t="s">
        <v>3</v>
      </c>
      <c r="E24" s="40"/>
      <c r="F24" s="10"/>
      <c r="G24" s="18">
        <v>1.0</v>
      </c>
      <c r="H24" s="40"/>
      <c r="I24" s="10"/>
      <c r="J24" s="12"/>
      <c r="K24" s="18">
        <v>3.0</v>
      </c>
      <c r="L24" s="40"/>
      <c r="M24" s="10"/>
      <c r="N24" s="10"/>
      <c r="O24" s="10"/>
      <c r="P24" s="10"/>
      <c r="Q24" s="10"/>
      <c r="R24" s="10"/>
      <c r="S24" s="10"/>
      <c r="T24" s="23">
        <v>0.0</v>
      </c>
      <c r="U24" s="25"/>
      <c r="V24" s="27"/>
      <c r="W24" s="29">
        <v>0.0</v>
      </c>
      <c r="X24" s="59">
        <v>0.0</v>
      </c>
    </row>
    <row r="25">
      <c r="A25" s="63">
        <v>22.0</v>
      </c>
      <c r="B25" s="4">
        <v>222.0</v>
      </c>
      <c r="C25" s="6" t="s">
        <v>71</v>
      </c>
      <c r="D25" s="37" t="s">
        <v>3</v>
      </c>
      <c r="E25" s="9">
        <v>1.0</v>
      </c>
      <c r="F25" s="71"/>
      <c r="G25" s="18">
        <v>1.0</v>
      </c>
      <c r="H25" s="40"/>
      <c r="I25" s="10"/>
      <c r="J25" s="18">
        <v>1.0</v>
      </c>
      <c r="K25" s="12"/>
      <c r="L25" s="40"/>
      <c r="M25" s="10"/>
      <c r="N25" s="10"/>
      <c r="O25" s="10"/>
      <c r="P25" s="10"/>
      <c r="Q25" s="10"/>
      <c r="R25" s="10"/>
      <c r="S25" s="10"/>
      <c r="T25" s="23">
        <v>0.0</v>
      </c>
      <c r="U25" s="25"/>
      <c r="V25" s="27"/>
      <c r="W25" s="29">
        <v>0.0</v>
      </c>
      <c r="X25" s="59">
        <v>0.0</v>
      </c>
    </row>
    <row r="26">
      <c r="A26" s="63">
        <v>23.0</v>
      </c>
      <c r="B26" s="33">
        <v>223.0</v>
      </c>
      <c r="C26" s="36" t="s">
        <v>74</v>
      </c>
      <c r="D26" s="37" t="s">
        <v>3</v>
      </c>
      <c r="E26" s="40"/>
      <c r="F26" s="10"/>
      <c r="G26" s="12"/>
      <c r="H26" s="40"/>
      <c r="I26" s="10"/>
      <c r="J26" s="12"/>
      <c r="K26" s="12"/>
      <c r="L26" s="9">
        <v>1.0</v>
      </c>
      <c r="M26" s="10"/>
      <c r="N26" s="10"/>
      <c r="O26" s="10"/>
      <c r="P26" s="10"/>
      <c r="Q26" s="10"/>
      <c r="R26" s="10"/>
      <c r="S26" s="10"/>
      <c r="T26" s="23">
        <v>0.0</v>
      </c>
      <c r="U26" s="25"/>
      <c r="V26" s="27"/>
      <c r="W26" s="29">
        <v>0.0</v>
      </c>
      <c r="X26" s="59">
        <v>0.0</v>
      </c>
    </row>
    <row r="27">
      <c r="A27" s="63">
        <v>24.0</v>
      </c>
      <c r="B27" s="33">
        <v>224.0</v>
      </c>
      <c r="C27" s="36" t="s">
        <v>76</v>
      </c>
      <c r="D27" s="37" t="s">
        <v>3</v>
      </c>
      <c r="E27" s="40"/>
      <c r="F27" s="10"/>
      <c r="G27" s="12"/>
      <c r="H27" s="40"/>
      <c r="I27" s="10"/>
      <c r="J27" s="12"/>
      <c r="K27" s="12"/>
      <c r="L27" s="40"/>
      <c r="M27" s="10"/>
      <c r="N27" s="10"/>
      <c r="O27" s="10"/>
      <c r="P27" s="10"/>
      <c r="Q27" s="10"/>
      <c r="R27" s="10"/>
      <c r="S27" s="10"/>
      <c r="T27" s="23">
        <v>0.0</v>
      </c>
      <c r="U27" s="25"/>
      <c r="V27" s="27"/>
      <c r="W27" s="29">
        <v>0.0</v>
      </c>
      <c r="X27" s="59">
        <v>0.0</v>
      </c>
    </row>
    <row r="28">
      <c r="A28" s="63">
        <v>25.0</v>
      </c>
      <c r="B28" s="33">
        <v>225.0</v>
      </c>
      <c r="C28" s="36" t="s">
        <v>80</v>
      </c>
      <c r="D28" s="37" t="s">
        <v>3</v>
      </c>
      <c r="E28" s="40"/>
      <c r="F28" s="10"/>
      <c r="G28" s="12"/>
      <c r="H28" s="40"/>
      <c r="I28" s="45">
        <v>2.0</v>
      </c>
      <c r="J28" s="12"/>
      <c r="K28" s="18">
        <v>2.0</v>
      </c>
      <c r="L28" s="40"/>
      <c r="M28" s="10"/>
      <c r="N28" s="10"/>
      <c r="O28" s="10"/>
      <c r="P28" s="10"/>
      <c r="Q28" s="10"/>
      <c r="R28" s="10"/>
      <c r="S28" s="10"/>
      <c r="T28" s="23">
        <v>0.0</v>
      </c>
      <c r="U28" s="25"/>
      <c r="V28" s="27"/>
      <c r="W28" s="29">
        <v>0.0</v>
      </c>
      <c r="X28" s="59">
        <v>0.0</v>
      </c>
    </row>
    <row r="29">
      <c r="A29" s="63">
        <v>26.0</v>
      </c>
      <c r="B29" s="33">
        <v>301.0</v>
      </c>
      <c r="C29" s="36" t="s">
        <v>83</v>
      </c>
      <c r="D29" s="37" t="s">
        <v>3</v>
      </c>
      <c r="E29" s="40"/>
      <c r="F29" s="10"/>
      <c r="G29" s="18">
        <v>5.0</v>
      </c>
      <c r="H29" s="40"/>
      <c r="I29" s="10"/>
      <c r="J29" s="12"/>
      <c r="K29" s="12"/>
      <c r="L29" s="40"/>
      <c r="M29" s="10"/>
      <c r="N29" s="10"/>
      <c r="O29" s="10"/>
      <c r="P29" s="10"/>
      <c r="Q29" s="10"/>
      <c r="R29" s="10"/>
      <c r="S29" s="10"/>
      <c r="T29" s="23">
        <v>0.0</v>
      </c>
      <c r="U29" s="25"/>
      <c r="V29" s="27"/>
      <c r="W29" s="29">
        <v>0.0</v>
      </c>
      <c r="X29" s="59">
        <v>0.0</v>
      </c>
    </row>
    <row r="30">
      <c r="A30" s="63">
        <v>27.0</v>
      </c>
      <c r="B30" s="33">
        <v>302.0</v>
      </c>
      <c r="C30" s="36" t="s">
        <v>84</v>
      </c>
      <c r="D30" s="37" t="s">
        <v>3</v>
      </c>
      <c r="E30" s="9">
        <v>2.0</v>
      </c>
      <c r="F30" s="10"/>
      <c r="G30" s="12"/>
      <c r="H30" s="40"/>
      <c r="I30" s="10"/>
      <c r="J30" s="18">
        <v>1.0</v>
      </c>
      <c r="K30" s="12"/>
      <c r="L30" s="40"/>
      <c r="M30" s="10"/>
      <c r="N30" s="10"/>
      <c r="O30" s="10"/>
      <c r="P30" s="10"/>
      <c r="Q30" s="10"/>
      <c r="R30" s="10"/>
      <c r="S30" s="10"/>
      <c r="T30" s="23">
        <v>0.0</v>
      </c>
      <c r="U30" s="25"/>
      <c r="V30" s="27"/>
      <c r="W30" s="29">
        <v>0.0</v>
      </c>
      <c r="X30" s="59">
        <v>0.0</v>
      </c>
    </row>
    <row r="31">
      <c r="A31" s="63">
        <v>28.0</v>
      </c>
      <c r="B31" s="33">
        <v>303.0</v>
      </c>
      <c r="C31" s="36" t="s">
        <v>86</v>
      </c>
      <c r="D31" s="37" t="s">
        <v>3</v>
      </c>
      <c r="E31" s="40"/>
      <c r="F31" s="10"/>
      <c r="G31" s="12"/>
      <c r="H31" s="9">
        <v>1.0</v>
      </c>
      <c r="I31" s="10"/>
      <c r="J31" s="18">
        <v>2.0</v>
      </c>
      <c r="K31" s="18">
        <v>1.0</v>
      </c>
      <c r="L31" s="40"/>
      <c r="M31" s="10"/>
      <c r="N31" s="10"/>
      <c r="O31" s="10"/>
      <c r="P31" s="10"/>
      <c r="Q31" s="10"/>
      <c r="R31" s="10"/>
      <c r="S31" s="10"/>
      <c r="T31" s="23">
        <v>0.0</v>
      </c>
      <c r="U31" s="25"/>
      <c r="V31" s="27"/>
      <c r="W31" s="29">
        <v>0.0</v>
      </c>
      <c r="X31" s="59">
        <v>0.0</v>
      </c>
    </row>
    <row r="32">
      <c r="A32" s="63">
        <v>29.0</v>
      </c>
      <c r="B32" s="33">
        <v>304.0</v>
      </c>
      <c r="C32" s="36" t="s">
        <v>88</v>
      </c>
      <c r="D32" s="37" t="s">
        <v>3</v>
      </c>
      <c r="E32" s="9">
        <v>2.0</v>
      </c>
      <c r="F32" s="10"/>
      <c r="G32" s="12"/>
      <c r="H32" s="40"/>
      <c r="I32" s="10"/>
      <c r="J32" s="18">
        <v>2.0</v>
      </c>
      <c r="K32" s="12"/>
      <c r="L32" s="40"/>
      <c r="M32" s="10"/>
      <c r="N32" s="10"/>
      <c r="O32" s="10"/>
      <c r="P32" s="10"/>
      <c r="Q32" s="10"/>
      <c r="R32" s="10"/>
      <c r="S32" s="10"/>
      <c r="T32" s="23">
        <v>0.0</v>
      </c>
      <c r="U32" s="25"/>
      <c r="V32" s="27"/>
      <c r="W32" s="29">
        <v>0.0</v>
      </c>
      <c r="X32" s="59">
        <v>0.0</v>
      </c>
    </row>
    <row r="33">
      <c r="A33" s="63">
        <v>30.0</v>
      </c>
      <c r="B33" s="33">
        <v>305.0</v>
      </c>
      <c r="C33" s="36" t="s">
        <v>89</v>
      </c>
      <c r="D33" s="37" t="s">
        <v>3</v>
      </c>
      <c r="E33" s="40"/>
      <c r="F33" s="10"/>
      <c r="G33" s="12"/>
      <c r="H33" s="40"/>
      <c r="I33" s="10"/>
      <c r="J33" s="12"/>
      <c r="K33" s="12"/>
      <c r="L33" s="40"/>
      <c r="M33" s="10"/>
      <c r="N33" s="10"/>
      <c r="O33" s="10"/>
      <c r="P33" s="10"/>
      <c r="Q33" s="10"/>
      <c r="R33" s="10"/>
      <c r="S33" s="10"/>
      <c r="T33" s="23">
        <v>0.0</v>
      </c>
      <c r="U33" s="25"/>
      <c r="V33" s="27"/>
      <c r="W33" s="29">
        <v>0.0</v>
      </c>
      <c r="X33" s="59">
        <v>0.0</v>
      </c>
    </row>
    <row r="34">
      <c r="A34" s="63">
        <v>31.0</v>
      </c>
      <c r="B34" s="33">
        <v>306.0</v>
      </c>
      <c r="C34" s="36" t="s">
        <v>90</v>
      </c>
      <c r="D34" s="37" t="s">
        <v>3</v>
      </c>
      <c r="E34" s="40"/>
      <c r="F34" s="10"/>
      <c r="G34" s="12"/>
      <c r="H34" s="40"/>
      <c r="I34" s="10"/>
      <c r="J34" s="12"/>
      <c r="K34" s="12"/>
      <c r="L34" s="40"/>
      <c r="M34" s="10"/>
      <c r="N34" s="10"/>
      <c r="O34" s="10"/>
      <c r="P34" s="10"/>
      <c r="Q34" s="10"/>
      <c r="R34" s="10"/>
      <c r="S34" s="10"/>
      <c r="T34" s="23">
        <v>0.0</v>
      </c>
      <c r="U34" s="25"/>
      <c r="V34" s="27"/>
      <c r="W34" s="29">
        <v>0.0</v>
      </c>
      <c r="X34" s="59">
        <v>0.0</v>
      </c>
    </row>
    <row r="35">
      <c r="A35" s="63">
        <v>32.0</v>
      </c>
      <c r="B35" s="33">
        <v>306.0</v>
      </c>
      <c r="C35" s="36" t="s">
        <v>91</v>
      </c>
      <c r="D35" s="37" t="s">
        <v>3</v>
      </c>
      <c r="E35" s="40"/>
      <c r="F35" s="10"/>
      <c r="G35" s="12"/>
      <c r="H35" s="40"/>
      <c r="I35" s="10"/>
      <c r="J35" s="12"/>
      <c r="K35" s="12"/>
      <c r="L35" s="40"/>
      <c r="M35" s="10"/>
      <c r="N35" s="10"/>
      <c r="O35" s="10"/>
      <c r="P35" s="10"/>
      <c r="Q35" s="10"/>
      <c r="R35" s="10"/>
      <c r="S35" s="10"/>
      <c r="T35" s="23">
        <v>0.0</v>
      </c>
      <c r="U35" s="25"/>
      <c r="V35" s="27"/>
      <c r="W35" s="29">
        <v>0.0</v>
      </c>
      <c r="X35" s="59">
        <v>0.0</v>
      </c>
    </row>
    <row r="36">
      <c r="A36" s="63">
        <v>33.0</v>
      </c>
      <c r="B36" s="33">
        <v>307.0</v>
      </c>
      <c r="C36" s="36" t="s">
        <v>93</v>
      </c>
      <c r="D36" s="55" t="s">
        <v>3</v>
      </c>
      <c r="E36" s="40"/>
      <c r="F36" s="10"/>
      <c r="G36" s="12"/>
      <c r="H36" s="40"/>
      <c r="I36" s="10"/>
      <c r="J36" s="12"/>
      <c r="K36" s="12"/>
      <c r="L36" s="40"/>
      <c r="M36" s="10"/>
      <c r="N36" s="10"/>
      <c r="O36" s="10"/>
      <c r="P36" s="10"/>
      <c r="Q36" s="10"/>
      <c r="R36" s="10"/>
      <c r="S36" s="10"/>
      <c r="T36" s="23">
        <v>0.0</v>
      </c>
      <c r="U36" s="25"/>
      <c r="V36" s="27"/>
      <c r="W36" s="29">
        <v>0.0</v>
      </c>
      <c r="X36" s="59">
        <v>0.0</v>
      </c>
    </row>
    <row r="37">
      <c r="A37" s="63">
        <v>34.0</v>
      </c>
      <c r="B37" s="33">
        <v>308.0</v>
      </c>
      <c r="C37" s="36" t="s">
        <v>94</v>
      </c>
      <c r="D37" s="37" t="s">
        <v>3</v>
      </c>
      <c r="E37" s="9">
        <v>2.0</v>
      </c>
      <c r="F37" s="10"/>
      <c r="G37" s="18">
        <v>1.0</v>
      </c>
      <c r="H37" s="40"/>
      <c r="I37" s="10"/>
      <c r="J37" s="12"/>
      <c r="K37" s="12"/>
      <c r="L37" s="40"/>
      <c r="M37" s="10"/>
      <c r="N37" s="10"/>
      <c r="O37" s="10"/>
      <c r="P37" s="10"/>
      <c r="Q37" s="10"/>
      <c r="R37" s="10"/>
      <c r="S37" s="10"/>
      <c r="T37" s="23">
        <v>0.0</v>
      </c>
      <c r="U37" s="25"/>
      <c r="V37" s="27"/>
      <c r="W37" s="29">
        <v>0.0</v>
      </c>
      <c r="X37" s="59">
        <v>0.0</v>
      </c>
    </row>
    <row r="38">
      <c r="A38" s="63">
        <v>35.0</v>
      </c>
      <c r="B38" s="33">
        <v>309.0</v>
      </c>
      <c r="C38" s="36" t="s">
        <v>96</v>
      </c>
      <c r="D38" s="37" t="s">
        <v>3</v>
      </c>
      <c r="E38" s="40"/>
      <c r="F38" s="10"/>
      <c r="G38" s="12"/>
      <c r="H38" s="40"/>
      <c r="I38" s="10"/>
      <c r="J38" s="12"/>
      <c r="K38" s="12"/>
      <c r="L38" s="40"/>
      <c r="M38" s="10"/>
      <c r="N38" s="10"/>
      <c r="O38" s="10"/>
      <c r="P38" s="10"/>
      <c r="Q38" s="10"/>
      <c r="R38" s="10"/>
      <c r="S38" s="10"/>
      <c r="T38" s="23">
        <v>0.0</v>
      </c>
      <c r="U38" s="25"/>
      <c r="V38" s="27"/>
      <c r="W38" s="29">
        <v>0.0</v>
      </c>
      <c r="X38" s="59">
        <v>0.0</v>
      </c>
    </row>
    <row r="39">
      <c r="A39" s="63">
        <v>36.0</v>
      </c>
      <c r="B39" s="33">
        <v>310.0</v>
      </c>
      <c r="C39" s="36" t="s">
        <v>97</v>
      </c>
      <c r="D39" s="37" t="s">
        <v>3</v>
      </c>
      <c r="E39" s="40"/>
      <c r="F39" s="12"/>
      <c r="G39" s="12"/>
      <c r="H39" s="40"/>
      <c r="I39" s="10"/>
      <c r="J39" s="12"/>
      <c r="K39" s="12"/>
      <c r="L39" s="40"/>
      <c r="M39" s="10"/>
      <c r="N39" s="10"/>
      <c r="O39" s="10"/>
      <c r="P39" s="10"/>
      <c r="Q39" s="10"/>
      <c r="R39" s="10"/>
      <c r="S39" s="10"/>
      <c r="T39" s="23">
        <v>0.0</v>
      </c>
      <c r="U39" s="25"/>
      <c r="V39" s="27"/>
      <c r="W39" s="29">
        <v>0.0</v>
      </c>
      <c r="X39" s="59">
        <v>0.0</v>
      </c>
    </row>
    <row r="40">
      <c r="A40" s="63">
        <v>37.0</v>
      </c>
      <c r="B40" s="33">
        <v>311.0</v>
      </c>
      <c r="C40" s="36" t="s">
        <v>98</v>
      </c>
      <c r="D40" s="37" t="s">
        <v>3</v>
      </c>
      <c r="E40" s="40"/>
      <c r="F40" s="12"/>
      <c r="G40" s="18">
        <v>1.0</v>
      </c>
      <c r="H40" s="40"/>
      <c r="I40" s="10"/>
      <c r="J40" s="12"/>
      <c r="K40" s="18">
        <v>1.0</v>
      </c>
      <c r="L40" s="40"/>
      <c r="M40" s="10"/>
      <c r="N40" s="10"/>
      <c r="O40" s="10"/>
      <c r="P40" s="10"/>
      <c r="Q40" s="10"/>
      <c r="R40" s="10"/>
      <c r="S40" s="10"/>
      <c r="T40" s="23">
        <v>0.0</v>
      </c>
      <c r="U40" s="25"/>
      <c r="V40" s="27"/>
      <c r="W40" s="29">
        <v>0.0</v>
      </c>
      <c r="X40" s="59">
        <v>0.0</v>
      </c>
    </row>
    <row r="41">
      <c r="A41" s="63">
        <v>38.0</v>
      </c>
      <c r="B41" s="33">
        <v>312.0</v>
      </c>
      <c r="C41" s="36" t="s">
        <v>100</v>
      </c>
      <c r="D41" s="37" t="s">
        <v>3</v>
      </c>
      <c r="E41" s="9">
        <v>1.0</v>
      </c>
      <c r="F41" s="10"/>
      <c r="G41" s="12"/>
      <c r="H41" s="40"/>
      <c r="I41" s="10"/>
      <c r="J41" s="12"/>
      <c r="K41" s="12"/>
      <c r="L41" s="40"/>
      <c r="M41" s="10"/>
      <c r="N41" s="10"/>
      <c r="O41" s="10"/>
      <c r="P41" s="10"/>
      <c r="Q41" s="10"/>
      <c r="R41" s="10"/>
      <c r="S41" s="10"/>
      <c r="T41" s="23">
        <v>0.0</v>
      </c>
      <c r="U41" s="25"/>
      <c r="V41" s="27"/>
      <c r="W41" s="29">
        <v>0.0</v>
      </c>
      <c r="X41" s="59">
        <v>0.0</v>
      </c>
    </row>
    <row r="42">
      <c r="A42" s="63">
        <v>39.0</v>
      </c>
      <c r="B42" s="33">
        <v>313.0</v>
      </c>
      <c r="C42" s="36" t="s">
        <v>101</v>
      </c>
      <c r="D42" s="37" t="s">
        <v>3</v>
      </c>
      <c r="E42" s="9">
        <v>2.0</v>
      </c>
      <c r="F42" s="10"/>
      <c r="G42" s="18">
        <v>1.0</v>
      </c>
      <c r="H42" s="40"/>
      <c r="I42" s="10"/>
      <c r="J42" s="18">
        <v>1.0</v>
      </c>
      <c r="K42" s="12"/>
      <c r="L42" s="40"/>
      <c r="M42" s="10"/>
      <c r="N42" s="10"/>
      <c r="O42" s="10"/>
      <c r="P42" s="10"/>
      <c r="Q42" s="10"/>
      <c r="R42" s="10"/>
      <c r="S42" s="10"/>
      <c r="T42" s="23">
        <v>0.0</v>
      </c>
      <c r="U42" s="25"/>
      <c r="V42" s="27"/>
      <c r="W42" s="29">
        <v>0.0</v>
      </c>
      <c r="X42" s="59">
        <v>0.0</v>
      </c>
    </row>
    <row r="43">
      <c r="A43" s="63">
        <v>40.0</v>
      </c>
      <c r="B43" s="33">
        <v>314.0</v>
      </c>
      <c r="C43" s="36" t="s">
        <v>103</v>
      </c>
      <c r="D43" s="37" t="s">
        <v>3</v>
      </c>
      <c r="E43" s="40"/>
      <c r="F43" s="10"/>
      <c r="G43" s="12"/>
      <c r="H43" s="40"/>
      <c r="I43" s="10"/>
      <c r="J43" s="12"/>
      <c r="K43" s="12"/>
      <c r="L43" s="40"/>
      <c r="M43" s="10"/>
      <c r="N43" s="10"/>
      <c r="O43" s="10"/>
      <c r="P43" s="10"/>
      <c r="Q43" s="10"/>
      <c r="R43" s="10"/>
      <c r="S43" s="10"/>
      <c r="T43" s="23">
        <v>0.0</v>
      </c>
      <c r="U43" s="25"/>
      <c r="V43" s="27"/>
      <c r="W43" s="29">
        <v>0.0</v>
      </c>
      <c r="X43" s="59">
        <v>0.0</v>
      </c>
    </row>
    <row r="44">
      <c r="A44" s="63">
        <v>41.0</v>
      </c>
      <c r="B44" s="33">
        <v>315.0</v>
      </c>
      <c r="C44" s="36" t="s">
        <v>104</v>
      </c>
      <c r="D44" s="37" t="s">
        <v>3</v>
      </c>
      <c r="E44" s="9">
        <v>2.0</v>
      </c>
      <c r="F44" s="10"/>
      <c r="G44" s="18">
        <v>1.0</v>
      </c>
      <c r="H44" s="40"/>
      <c r="I44" s="10"/>
      <c r="J44" s="18">
        <v>1.0</v>
      </c>
      <c r="K44" s="12"/>
      <c r="L44" s="40"/>
      <c r="M44" s="10"/>
      <c r="N44" s="10"/>
      <c r="O44" s="10"/>
      <c r="P44" s="10"/>
      <c r="Q44" s="10"/>
      <c r="R44" s="10"/>
      <c r="S44" s="10"/>
      <c r="T44" s="23">
        <v>0.0</v>
      </c>
      <c r="U44" s="25"/>
      <c r="V44" s="27"/>
      <c r="W44" s="29">
        <v>0.0</v>
      </c>
      <c r="X44" s="59">
        <v>0.0</v>
      </c>
    </row>
    <row r="45">
      <c r="A45" s="63">
        <v>42.0</v>
      </c>
      <c r="B45" s="33">
        <v>316.0</v>
      </c>
      <c r="C45" s="36" t="s">
        <v>105</v>
      </c>
      <c r="D45" s="37" t="s">
        <v>3</v>
      </c>
      <c r="E45" s="40"/>
      <c r="F45" s="10"/>
      <c r="G45" s="12"/>
      <c r="H45" s="40"/>
      <c r="I45" s="10"/>
      <c r="J45" s="12"/>
      <c r="K45" s="12"/>
      <c r="L45" s="40"/>
      <c r="M45" s="10"/>
      <c r="N45" s="10"/>
      <c r="O45" s="10"/>
      <c r="P45" s="10"/>
      <c r="Q45" s="10"/>
      <c r="R45" s="10"/>
      <c r="S45" s="10"/>
      <c r="T45" s="23">
        <v>0.0</v>
      </c>
      <c r="U45" s="25"/>
      <c r="V45" s="27"/>
      <c r="W45" s="29">
        <v>0.0</v>
      </c>
      <c r="X45" s="59">
        <v>0.0</v>
      </c>
    </row>
    <row r="46">
      <c r="A46" s="63">
        <v>43.0</v>
      </c>
      <c r="B46" s="33">
        <v>317.0</v>
      </c>
      <c r="C46" s="36" t="s">
        <v>107</v>
      </c>
      <c r="D46" s="37" t="s">
        <v>3</v>
      </c>
      <c r="E46" s="40"/>
      <c r="F46" s="10"/>
      <c r="G46" s="12"/>
      <c r="H46" s="40"/>
      <c r="I46" s="10"/>
      <c r="J46" s="12"/>
      <c r="K46" s="12"/>
      <c r="L46" s="9">
        <v>6.0</v>
      </c>
      <c r="M46" s="10"/>
      <c r="N46" s="10"/>
      <c r="O46" s="10"/>
      <c r="P46" s="10"/>
      <c r="Q46" s="10"/>
      <c r="R46" s="10"/>
      <c r="S46" s="10"/>
      <c r="T46" s="23">
        <v>0.0</v>
      </c>
      <c r="U46" s="25"/>
      <c r="V46" s="27"/>
      <c r="W46" s="29">
        <v>0.0</v>
      </c>
      <c r="X46" s="59">
        <v>0.0</v>
      </c>
    </row>
    <row r="47">
      <c r="A47" s="63">
        <v>44.0</v>
      </c>
      <c r="B47" s="33">
        <v>318.0</v>
      </c>
      <c r="C47" s="36" t="s">
        <v>109</v>
      </c>
      <c r="D47" s="37" t="s">
        <v>3</v>
      </c>
      <c r="E47" s="40"/>
      <c r="F47" s="10"/>
      <c r="G47" s="12"/>
      <c r="H47" s="40"/>
      <c r="I47" s="10"/>
      <c r="J47" s="12"/>
      <c r="K47" s="18">
        <v>1.0</v>
      </c>
      <c r="L47" s="40"/>
      <c r="M47" s="10"/>
      <c r="N47" s="10"/>
      <c r="O47" s="10"/>
      <c r="P47" s="10"/>
      <c r="Q47" s="10"/>
      <c r="R47" s="10"/>
      <c r="S47" s="10"/>
      <c r="T47" s="23">
        <v>0.0</v>
      </c>
      <c r="U47" s="25"/>
      <c r="V47" s="27"/>
      <c r="W47" s="29">
        <v>0.0</v>
      </c>
      <c r="X47" s="59">
        <v>0.0</v>
      </c>
    </row>
    <row r="48">
      <c r="A48" s="63">
        <v>45.0</v>
      </c>
      <c r="B48" s="33">
        <v>319.0</v>
      </c>
      <c r="C48" s="36" t="s">
        <v>110</v>
      </c>
      <c r="D48" s="37" t="s">
        <v>3</v>
      </c>
      <c r="E48" s="40"/>
      <c r="F48" s="10"/>
      <c r="G48" s="12"/>
      <c r="H48" s="40"/>
      <c r="I48" s="10"/>
      <c r="J48" s="12"/>
      <c r="K48" s="12"/>
      <c r="L48" s="40"/>
      <c r="M48" s="10"/>
      <c r="N48" s="10"/>
      <c r="O48" s="10"/>
      <c r="P48" s="10"/>
      <c r="Q48" s="10"/>
      <c r="R48" s="10"/>
      <c r="S48" s="10"/>
      <c r="T48" s="23">
        <v>0.0</v>
      </c>
      <c r="U48" s="25"/>
      <c r="V48" s="27"/>
      <c r="W48" s="29">
        <v>0.0</v>
      </c>
      <c r="X48" s="59">
        <v>0.0</v>
      </c>
    </row>
    <row r="49">
      <c r="A49" s="63">
        <v>46.0</v>
      </c>
      <c r="B49" s="33">
        <v>320.0</v>
      </c>
      <c r="C49" s="36" t="s">
        <v>111</v>
      </c>
      <c r="D49" s="37" t="s">
        <v>3</v>
      </c>
      <c r="E49" s="9">
        <v>1.0</v>
      </c>
      <c r="F49" s="10"/>
      <c r="G49" s="18">
        <v>1.0</v>
      </c>
      <c r="H49" s="40"/>
      <c r="I49" s="10"/>
      <c r="J49" s="12"/>
      <c r="K49" s="12"/>
      <c r="L49" s="40"/>
      <c r="M49" s="10"/>
      <c r="N49" s="10"/>
      <c r="O49" s="10"/>
      <c r="P49" s="10"/>
      <c r="Q49" s="10"/>
      <c r="R49" s="10"/>
      <c r="S49" s="10"/>
      <c r="T49" s="23">
        <v>0.0</v>
      </c>
      <c r="U49" s="68"/>
      <c r="V49" s="69"/>
      <c r="W49" s="29">
        <v>0.0</v>
      </c>
      <c r="X49" s="70">
        <v>0.0</v>
      </c>
    </row>
    <row r="50">
      <c r="A50" s="63">
        <v>47.0</v>
      </c>
      <c r="B50" s="33">
        <v>321.0</v>
      </c>
      <c r="C50" s="36" t="s">
        <v>112</v>
      </c>
      <c r="D50" s="37" t="s">
        <v>3</v>
      </c>
      <c r="E50" s="18">
        <v>1.0</v>
      </c>
      <c r="F50" s="79"/>
      <c r="G50" s="18">
        <v>1.0</v>
      </c>
      <c r="H50" s="40"/>
      <c r="I50" s="10"/>
      <c r="J50" s="12"/>
      <c r="K50" s="12"/>
      <c r="L50" s="40"/>
      <c r="M50" s="10"/>
      <c r="N50" s="10"/>
      <c r="O50" s="10"/>
      <c r="P50" s="10"/>
      <c r="Q50" s="10"/>
      <c r="R50" s="10"/>
      <c r="S50" s="10"/>
      <c r="T50" s="23">
        <v>0.0</v>
      </c>
      <c r="U50" s="25"/>
      <c r="V50" s="27"/>
      <c r="W50" s="29">
        <v>0.0</v>
      </c>
      <c r="X50" s="59">
        <v>0.0</v>
      </c>
    </row>
    <row r="51">
      <c r="A51" s="63">
        <v>48.0</v>
      </c>
      <c r="B51" s="33">
        <v>322.0</v>
      </c>
      <c r="C51" s="36" t="s">
        <v>115</v>
      </c>
      <c r="D51" s="37" t="s">
        <v>3</v>
      </c>
      <c r="E51" s="12"/>
      <c r="F51" s="79"/>
      <c r="G51" s="12"/>
      <c r="H51" s="9">
        <v>1.0</v>
      </c>
      <c r="I51" s="10"/>
      <c r="J51" s="12"/>
      <c r="K51" s="12"/>
      <c r="L51" s="9">
        <v>5.0</v>
      </c>
      <c r="M51" s="10"/>
      <c r="N51" s="10"/>
      <c r="O51" s="10"/>
      <c r="P51" s="10"/>
      <c r="Q51" s="10"/>
      <c r="R51" s="10"/>
      <c r="S51" s="10"/>
      <c r="T51" s="23">
        <v>0.0</v>
      </c>
      <c r="U51" s="25"/>
      <c r="V51" s="27"/>
      <c r="W51" s="29">
        <v>0.0</v>
      </c>
      <c r="X51" s="59">
        <v>0.0</v>
      </c>
    </row>
    <row r="52">
      <c r="A52" s="63">
        <v>49.0</v>
      </c>
      <c r="B52" s="33">
        <v>324.0</v>
      </c>
      <c r="C52" s="36" t="s">
        <v>116</v>
      </c>
      <c r="D52" s="37" t="s">
        <v>3</v>
      </c>
      <c r="E52" s="9">
        <v>1.0</v>
      </c>
      <c r="F52" s="10"/>
      <c r="G52" s="12"/>
      <c r="H52" s="40"/>
      <c r="I52" s="10"/>
      <c r="J52" s="12"/>
      <c r="K52" s="12"/>
      <c r="L52" s="40"/>
      <c r="M52" s="10"/>
      <c r="N52" s="10"/>
      <c r="O52" s="10"/>
      <c r="P52" s="10"/>
      <c r="Q52" s="10"/>
      <c r="R52" s="10"/>
      <c r="S52" s="10"/>
      <c r="T52" s="23">
        <v>0.0</v>
      </c>
      <c r="U52" s="25"/>
      <c r="V52" s="27"/>
      <c r="W52" s="29">
        <v>0.0</v>
      </c>
      <c r="X52" s="59">
        <v>0.0</v>
      </c>
    </row>
    <row r="53">
      <c r="A53" s="63">
        <v>50.0</v>
      </c>
      <c r="B53" s="33">
        <v>324.0</v>
      </c>
      <c r="C53" s="36" t="s">
        <v>119</v>
      </c>
      <c r="D53" s="37" t="s">
        <v>3</v>
      </c>
      <c r="E53" s="40"/>
      <c r="F53" s="10"/>
      <c r="G53" s="12"/>
      <c r="H53" s="40"/>
      <c r="I53" s="10"/>
      <c r="J53" s="18">
        <v>4.0</v>
      </c>
      <c r="K53" s="12"/>
      <c r="L53" s="9">
        <v>5.0</v>
      </c>
      <c r="M53" s="10"/>
      <c r="N53" s="10"/>
      <c r="O53" s="10"/>
      <c r="P53" s="10"/>
      <c r="Q53" s="10"/>
      <c r="R53" s="10"/>
      <c r="S53" s="10"/>
      <c r="T53" s="23">
        <v>0.0</v>
      </c>
      <c r="U53" s="25"/>
      <c r="V53" s="27"/>
      <c r="W53" s="29">
        <v>0.0</v>
      </c>
      <c r="X53" s="59">
        <v>0.0</v>
      </c>
    </row>
    <row r="54">
      <c r="A54" s="63">
        <v>51.0</v>
      </c>
      <c r="B54" s="82">
        <v>325.0</v>
      </c>
      <c r="C54" s="36" t="s">
        <v>122</v>
      </c>
      <c r="D54" s="37" t="s">
        <v>3</v>
      </c>
      <c r="E54" s="40"/>
      <c r="F54" s="10"/>
      <c r="G54" s="12"/>
      <c r="H54" s="40"/>
      <c r="I54" s="10"/>
      <c r="J54" s="12"/>
      <c r="K54" s="12"/>
      <c r="L54" s="40"/>
      <c r="M54" s="10"/>
      <c r="N54" s="10"/>
      <c r="O54" s="10"/>
      <c r="P54" s="10"/>
      <c r="Q54" s="10"/>
      <c r="R54" s="10"/>
      <c r="S54" s="10"/>
      <c r="T54" s="23">
        <v>0.0</v>
      </c>
      <c r="U54" s="25"/>
      <c r="V54" s="27"/>
      <c r="W54" s="29">
        <v>0.0</v>
      </c>
      <c r="X54" s="59">
        <v>0.0</v>
      </c>
    </row>
    <row r="55">
      <c r="A55" s="63">
        <v>52.0</v>
      </c>
      <c r="B55" s="84"/>
      <c r="C55" s="85"/>
      <c r="D55" s="37" t="s">
        <v>3</v>
      </c>
      <c r="E55" s="40"/>
      <c r="F55" s="10"/>
      <c r="G55" s="12"/>
      <c r="H55" s="40"/>
      <c r="I55" s="10"/>
      <c r="J55" s="12"/>
      <c r="K55" s="12"/>
      <c r="L55" s="40"/>
      <c r="M55" s="10"/>
      <c r="N55" s="10"/>
      <c r="O55" s="10"/>
      <c r="P55" s="10"/>
      <c r="Q55" s="10"/>
      <c r="R55" s="10"/>
      <c r="S55" s="10"/>
      <c r="T55" s="23">
        <v>0.0</v>
      </c>
      <c r="U55" s="25"/>
      <c r="V55" s="27"/>
      <c r="W55" s="29">
        <v>0.0</v>
      </c>
      <c r="X55" s="59">
        <v>0.0</v>
      </c>
    </row>
    <row r="56">
      <c r="A56" s="63">
        <v>53.0</v>
      </c>
      <c r="B56" s="84"/>
      <c r="C56" s="85"/>
      <c r="D56" s="37" t="s">
        <v>3</v>
      </c>
      <c r="E56" s="40"/>
      <c r="F56" s="10"/>
      <c r="G56" s="12"/>
      <c r="H56" s="40"/>
      <c r="I56" s="10"/>
      <c r="J56" s="12"/>
      <c r="K56" s="12"/>
      <c r="L56" s="40"/>
      <c r="M56" s="10"/>
      <c r="N56" s="10"/>
      <c r="O56" s="10"/>
      <c r="P56" s="10"/>
      <c r="Q56" s="10"/>
      <c r="R56" s="10"/>
      <c r="S56" s="10"/>
      <c r="T56" s="23">
        <v>0.0</v>
      </c>
      <c r="U56" s="25"/>
      <c r="V56" s="27"/>
      <c r="W56" s="29">
        <v>0.0</v>
      </c>
      <c r="X56" s="59">
        <v>0.0</v>
      </c>
    </row>
    <row r="57">
      <c r="A57" s="63">
        <v>54.0</v>
      </c>
      <c r="B57" s="84"/>
      <c r="C57" s="85"/>
      <c r="D57" s="37" t="s">
        <v>3</v>
      </c>
      <c r="E57" s="40"/>
      <c r="F57" s="10"/>
      <c r="G57" s="12"/>
      <c r="H57" s="40"/>
      <c r="I57" s="10"/>
      <c r="J57" s="12"/>
      <c r="K57" s="12"/>
      <c r="L57" s="40"/>
      <c r="M57" s="10"/>
      <c r="N57" s="10"/>
      <c r="O57" s="10"/>
      <c r="P57" s="10"/>
      <c r="Q57" s="10"/>
      <c r="R57" s="10"/>
      <c r="S57" s="10"/>
      <c r="T57" s="23">
        <v>0.0</v>
      </c>
      <c r="U57" s="25"/>
      <c r="V57" s="27"/>
      <c r="W57" s="29">
        <v>0.0</v>
      </c>
      <c r="X57" s="59">
        <v>0.0</v>
      </c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</sheetData>
  <mergeCells count="5">
    <mergeCell ref="I1:P1"/>
    <mergeCell ref="R1:S1"/>
    <mergeCell ref="T1:V1"/>
    <mergeCell ref="A2:A3"/>
    <mergeCell ref="C2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201.0</v>
      </c>
      <c r="B1" s="6" t="s">
        <v>1</v>
      </c>
      <c r="C1" s="8" t="s">
        <v>3</v>
      </c>
      <c r="D1" s="9">
        <v>2.0</v>
      </c>
      <c r="E1" s="10"/>
      <c r="F1" s="12"/>
      <c r="G1" s="14"/>
      <c r="H1" s="16"/>
      <c r="I1" s="18">
        <v>1.0</v>
      </c>
      <c r="J1" s="12"/>
      <c r="K1" s="14"/>
      <c r="L1" s="16"/>
      <c r="M1" s="16"/>
      <c r="N1" s="16"/>
      <c r="O1" s="16"/>
      <c r="P1" s="16"/>
      <c r="Q1" s="16"/>
      <c r="R1" s="16"/>
      <c r="S1" s="23">
        <v>0.0</v>
      </c>
      <c r="T1" s="25"/>
      <c r="U1" s="27"/>
      <c r="V1" s="29">
        <v>0.0</v>
      </c>
      <c r="W1" s="31">
        <v>0.0</v>
      </c>
    </row>
    <row r="2">
      <c r="A2" s="33">
        <v>202.0</v>
      </c>
      <c r="B2" s="36" t="s">
        <v>18</v>
      </c>
      <c r="C2" s="37" t="s">
        <v>3</v>
      </c>
      <c r="D2" s="40"/>
      <c r="E2" s="10"/>
      <c r="F2" s="18">
        <v>1.0</v>
      </c>
      <c r="G2" s="40"/>
      <c r="H2" s="10"/>
      <c r="I2" s="12"/>
      <c r="J2" s="12"/>
      <c r="K2" s="40"/>
      <c r="L2" s="10"/>
      <c r="M2" s="10"/>
      <c r="N2" s="10"/>
      <c r="O2" s="10"/>
      <c r="P2" s="10"/>
      <c r="Q2" s="10"/>
      <c r="R2" s="10"/>
      <c r="S2" s="23">
        <v>0.0</v>
      </c>
      <c r="T2" s="25"/>
      <c r="U2" s="27"/>
      <c r="V2" s="29">
        <v>0.0</v>
      </c>
      <c r="W2" s="31">
        <v>0.0</v>
      </c>
    </row>
    <row r="3">
      <c r="A3" s="33">
        <v>203.0</v>
      </c>
      <c r="B3" s="36" t="s">
        <v>25</v>
      </c>
      <c r="C3" s="37" t="s">
        <v>3</v>
      </c>
      <c r="D3" s="9">
        <v>3.0</v>
      </c>
      <c r="E3" s="10"/>
      <c r="F3" s="12"/>
      <c r="G3" s="40"/>
      <c r="H3" s="45">
        <v>1.0</v>
      </c>
      <c r="I3" s="12"/>
      <c r="J3" s="12"/>
      <c r="K3" s="40"/>
      <c r="L3" s="10"/>
      <c r="M3" s="10"/>
      <c r="N3" s="10"/>
      <c r="O3" s="10"/>
      <c r="P3" s="10"/>
      <c r="Q3" s="10"/>
      <c r="R3" s="10"/>
      <c r="S3" s="23">
        <v>0.0</v>
      </c>
      <c r="T3" s="25"/>
      <c r="U3" s="27"/>
      <c r="V3" s="29">
        <v>0.0</v>
      </c>
      <c r="W3" s="31">
        <v>0.0</v>
      </c>
    </row>
    <row r="4">
      <c r="A4" s="33">
        <v>204.0</v>
      </c>
      <c r="B4" s="51" t="s">
        <v>26</v>
      </c>
      <c r="C4" s="37" t="s">
        <v>3</v>
      </c>
      <c r="D4" s="40"/>
      <c r="E4" s="10"/>
      <c r="F4" s="12"/>
      <c r="G4" s="40"/>
      <c r="H4" s="10"/>
      <c r="I4" s="18">
        <v>1.0</v>
      </c>
      <c r="J4" s="12"/>
      <c r="K4" s="40"/>
      <c r="L4" s="10"/>
      <c r="M4" s="10"/>
      <c r="N4" s="10"/>
      <c r="O4" s="10"/>
      <c r="P4" s="10"/>
      <c r="Q4" s="10"/>
      <c r="R4" s="10"/>
      <c r="S4" s="23">
        <v>0.0</v>
      </c>
      <c r="T4" s="25"/>
      <c r="U4" s="27"/>
      <c r="V4" s="29">
        <v>0.0</v>
      </c>
      <c r="W4" s="31">
        <v>0.0</v>
      </c>
    </row>
    <row r="5">
      <c r="A5" s="33">
        <v>205.0</v>
      </c>
      <c r="B5" s="36" t="s">
        <v>31</v>
      </c>
      <c r="C5" s="37" t="s">
        <v>3</v>
      </c>
      <c r="D5" s="40"/>
      <c r="E5" s="10"/>
      <c r="F5" s="12"/>
      <c r="G5" s="40"/>
      <c r="H5" s="10"/>
      <c r="I5" s="12"/>
      <c r="J5" s="12"/>
      <c r="K5" s="40"/>
      <c r="L5" s="10"/>
      <c r="M5" s="10"/>
      <c r="N5" s="10"/>
      <c r="O5" s="10"/>
      <c r="P5" s="10"/>
      <c r="Q5" s="10"/>
      <c r="R5" s="10"/>
      <c r="S5" s="23">
        <v>0.0</v>
      </c>
      <c r="T5" s="25"/>
      <c r="U5" s="27"/>
      <c r="V5" s="29">
        <v>0.0</v>
      </c>
      <c r="W5" s="31">
        <v>0.0</v>
      </c>
    </row>
    <row r="6">
      <c r="A6" s="33">
        <v>206.0</v>
      </c>
      <c r="B6" s="51" t="s">
        <v>33</v>
      </c>
      <c r="C6" s="55" t="s">
        <v>3</v>
      </c>
      <c r="D6" s="40"/>
      <c r="E6" s="10"/>
      <c r="F6" s="18">
        <v>1.0</v>
      </c>
      <c r="G6" s="40"/>
      <c r="H6" s="10"/>
      <c r="I6" s="12"/>
      <c r="J6" s="12"/>
      <c r="K6" s="40"/>
      <c r="L6" s="10"/>
      <c r="M6" s="10"/>
      <c r="N6" s="10"/>
      <c r="O6" s="10"/>
      <c r="P6" s="10"/>
      <c r="Q6" s="10"/>
      <c r="R6" s="10"/>
      <c r="S6" s="23">
        <v>0.0</v>
      </c>
      <c r="T6" s="25"/>
      <c r="U6" s="27"/>
      <c r="V6" s="29">
        <v>0.0</v>
      </c>
      <c r="W6" s="31">
        <v>0.0</v>
      </c>
    </row>
    <row r="7">
      <c r="A7" s="33">
        <v>207.0</v>
      </c>
      <c r="B7" s="36" t="s">
        <v>37</v>
      </c>
      <c r="C7" s="37" t="s">
        <v>3</v>
      </c>
      <c r="D7" s="40"/>
      <c r="E7" s="10"/>
      <c r="F7" s="12"/>
      <c r="G7" s="40"/>
      <c r="H7" s="10"/>
      <c r="I7" s="12"/>
      <c r="J7" s="12"/>
      <c r="K7" s="40"/>
      <c r="L7" s="10"/>
      <c r="M7" s="10"/>
      <c r="N7" s="10"/>
      <c r="O7" s="10"/>
      <c r="P7" s="10"/>
      <c r="Q7" s="10"/>
      <c r="R7" s="10"/>
      <c r="S7" s="23">
        <v>0.0</v>
      </c>
      <c r="T7" s="25"/>
      <c r="U7" s="27"/>
      <c r="V7" s="29">
        <v>0.0</v>
      </c>
      <c r="W7" s="59">
        <v>0.0</v>
      </c>
    </row>
    <row r="8">
      <c r="A8" s="33">
        <v>208.0</v>
      </c>
      <c r="B8" s="36" t="s">
        <v>43</v>
      </c>
      <c r="C8" s="37" t="s">
        <v>3</v>
      </c>
      <c r="D8" s="40"/>
      <c r="E8" s="10"/>
      <c r="F8" s="12"/>
      <c r="G8" s="40"/>
      <c r="H8" s="10"/>
      <c r="I8" s="18">
        <v>2.0</v>
      </c>
      <c r="J8" s="12"/>
      <c r="K8" s="40"/>
      <c r="L8" s="10"/>
      <c r="M8" s="10"/>
      <c r="N8" s="10"/>
      <c r="O8" s="10"/>
      <c r="P8" s="10"/>
      <c r="Q8" s="10"/>
      <c r="R8" s="10"/>
      <c r="S8" s="23">
        <v>0.0</v>
      </c>
      <c r="T8" s="25"/>
      <c r="U8" s="27"/>
      <c r="V8" s="29">
        <v>0.0</v>
      </c>
      <c r="W8" s="59">
        <v>0.0</v>
      </c>
    </row>
    <row r="9">
      <c r="A9" s="33">
        <v>209.0</v>
      </c>
      <c r="B9" s="51" t="s">
        <v>45</v>
      </c>
      <c r="C9" s="55" t="s">
        <v>3</v>
      </c>
      <c r="D9" s="40"/>
      <c r="E9" s="10"/>
      <c r="F9" s="12"/>
      <c r="G9" s="40"/>
      <c r="H9" s="10"/>
      <c r="I9" s="18">
        <v>1.0</v>
      </c>
      <c r="J9" s="18">
        <v>1.0</v>
      </c>
      <c r="K9" s="40"/>
      <c r="L9" s="10"/>
      <c r="M9" s="10"/>
      <c r="N9" s="10"/>
      <c r="O9" s="10"/>
      <c r="P9" s="10"/>
      <c r="Q9" s="10"/>
      <c r="R9" s="10"/>
      <c r="S9" s="23">
        <v>0.0</v>
      </c>
      <c r="T9" s="25"/>
      <c r="U9" s="27"/>
      <c r="V9" s="29">
        <v>0.0</v>
      </c>
      <c r="W9" s="59">
        <v>0.0</v>
      </c>
    </row>
    <row r="10">
      <c r="A10" s="33">
        <v>210.0</v>
      </c>
      <c r="B10" s="36" t="s">
        <v>47</v>
      </c>
      <c r="C10" s="37" t="s">
        <v>3</v>
      </c>
      <c r="D10" s="40"/>
      <c r="E10" s="10"/>
      <c r="F10" s="12"/>
      <c r="G10" s="40"/>
      <c r="H10" s="45">
        <v>2.0</v>
      </c>
      <c r="I10" s="18">
        <v>1.0</v>
      </c>
      <c r="J10" s="12"/>
      <c r="K10" s="40"/>
      <c r="L10" s="10"/>
      <c r="M10" s="10"/>
      <c r="N10" s="10"/>
      <c r="O10" s="10"/>
      <c r="P10" s="10"/>
      <c r="Q10" s="10"/>
      <c r="R10" s="10"/>
      <c r="S10" s="23">
        <v>0.0</v>
      </c>
      <c r="T10" s="25"/>
      <c r="U10" s="27"/>
      <c r="V10" s="29">
        <v>0.0</v>
      </c>
      <c r="W10" s="59">
        <v>0.0</v>
      </c>
    </row>
    <row r="11">
      <c r="A11" s="33">
        <v>211.0</v>
      </c>
      <c r="B11" s="36" t="s">
        <v>48</v>
      </c>
      <c r="C11" s="37" t="s">
        <v>3</v>
      </c>
      <c r="D11" s="9">
        <v>2.0</v>
      </c>
      <c r="E11" s="10"/>
      <c r="F11" s="12"/>
      <c r="G11" s="40"/>
      <c r="H11" s="45">
        <v>1.0</v>
      </c>
      <c r="I11" s="12"/>
      <c r="J11" s="12"/>
      <c r="K11" s="40"/>
      <c r="L11" s="10"/>
      <c r="M11" s="10"/>
      <c r="N11" s="10"/>
      <c r="O11" s="10"/>
      <c r="P11" s="10"/>
      <c r="Q11" s="10"/>
      <c r="R11" s="10"/>
      <c r="S11" s="23">
        <v>350.0</v>
      </c>
      <c r="T11" s="25"/>
      <c r="U11" s="27"/>
      <c r="V11" s="29">
        <v>0.0</v>
      </c>
      <c r="W11" s="59">
        <v>0.0</v>
      </c>
    </row>
    <row r="12">
      <c r="A12" s="33">
        <v>212.0</v>
      </c>
      <c r="B12" s="36" t="s">
        <v>52</v>
      </c>
      <c r="C12" s="37" t="s">
        <v>3</v>
      </c>
      <c r="D12" s="40"/>
      <c r="E12" s="10"/>
      <c r="F12" s="12"/>
      <c r="G12" s="40"/>
      <c r="H12" s="10"/>
      <c r="I12" s="12"/>
      <c r="J12" s="12"/>
      <c r="K12" s="40"/>
      <c r="L12" s="10"/>
      <c r="M12" s="10"/>
      <c r="N12" s="10"/>
      <c r="O12" s="10"/>
      <c r="P12" s="10"/>
      <c r="Q12" s="10"/>
      <c r="R12" s="10"/>
      <c r="S12" s="23">
        <v>0.0</v>
      </c>
      <c r="T12" s="25"/>
      <c r="U12" s="27"/>
      <c r="V12" s="29">
        <v>0.0</v>
      </c>
      <c r="W12" s="59">
        <v>0.0</v>
      </c>
    </row>
    <row r="13">
      <c r="A13" s="33">
        <v>213.0</v>
      </c>
      <c r="B13" s="36" t="s">
        <v>56</v>
      </c>
      <c r="C13" s="37" t="s">
        <v>3</v>
      </c>
      <c r="D13" s="40"/>
      <c r="E13" s="10"/>
      <c r="F13" s="18">
        <v>1.0</v>
      </c>
      <c r="G13" s="40"/>
      <c r="H13" s="10"/>
      <c r="I13" s="12"/>
      <c r="J13" s="12"/>
      <c r="K13" s="40"/>
      <c r="L13" s="10"/>
      <c r="M13" s="10"/>
      <c r="N13" s="10"/>
      <c r="O13" s="10"/>
      <c r="P13" s="10"/>
      <c r="Q13" s="10"/>
      <c r="R13" s="10"/>
      <c r="S13" s="23">
        <v>0.0</v>
      </c>
      <c r="T13" s="25"/>
      <c r="U13" s="27"/>
      <c r="V13" s="29">
        <v>0.0</v>
      </c>
      <c r="W13" s="59">
        <v>0.0</v>
      </c>
    </row>
    <row r="14">
      <c r="A14" s="33">
        <v>214.0</v>
      </c>
      <c r="B14" s="51" t="s">
        <v>58</v>
      </c>
      <c r="C14" s="37" t="s">
        <v>3</v>
      </c>
      <c r="D14" s="40"/>
      <c r="E14" s="10"/>
      <c r="F14" s="12"/>
      <c r="G14" s="40"/>
      <c r="H14" s="10"/>
      <c r="I14" s="12"/>
      <c r="J14" s="12"/>
      <c r="K14" s="40"/>
      <c r="L14" s="10"/>
      <c r="M14" s="10"/>
      <c r="N14" s="10"/>
      <c r="O14" s="10"/>
      <c r="P14" s="10"/>
      <c r="Q14" s="10"/>
      <c r="R14" s="10"/>
      <c r="S14" s="23">
        <v>0.0</v>
      </c>
      <c r="T14" s="25"/>
      <c r="U14" s="27"/>
      <c r="V14" s="29">
        <v>0.0</v>
      </c>
      <c r="W14" s="59">
        <v>0.0</v>
      </c>
    </row>
    <row r="15">
      <c r="A15" s="33">
        <v>215.0</v>
      </c>
      <c r="B15" s="36" t="s">
        <v>60</v>
      </c>
      <c r="C15" s="37" t="s">
        <v>3</v>
      </c>
      <c r="D15" s="40"/>
      <c r="E15" s="10"/>
      <c r="F15" s="18">
        <v>1.0</v>
      </c>
      <c r="G15" s="40"/>
      <c r="H15" s="10"/>
      <c r="I15" s="12"/>
      <c r="J15" s="18">
        <v>1.0</v>
      </c>
      <c r="K15" s="40"/>
      <c r="L15" s="10"/>
      <c r="M15" s="10"/>
      <c r="N15" s="10"/>
      <c r="O15" s="10"/>
      <c r="P15" s="10"/>
      <c r="Q15" s="10"/>
      <c r="R15" s="10"/>
      <c r="S15" s="23">
        <v>0.0</v>
      </c>
      <c r="T15" s="25"/>
      <c r="U15" s="27"/>
      <c r="V15" s="29">
        <v>0.0</v>
      </c>
      <c r="W15" s="59">
        <v>0.0</v>
      </c>
    </row>
    <row r="16">
      <c r="A16" s="33">
        <v>216.0</v>
      </c>
      <c r="B16" s="36" t="s">
        <v>61</v>
      </c>
      <c r="C16" s="37" t="s">
        <v>3</v>
      </c>
      <c r="D16" s="40"/>
      <c r="E16" s="10"/>
      <c r="F16" s="12"/>
      <c r="G16" s="40"/>
      <c r="H16" s="10"/>
      <c r="I16" s="12"/>
      <c r="J16" s="12"/>
      <c r="K16" s="40"/>
      <c r="L16" s="10"/>
      <c r="M16" s="10"/>
      <c r="N16" s="10"/>
      <c r="O16" s="10"/>
      <c r="P16" s="10"/>
      <c r="Q16" s="10"/>
      <c r="R16" s="10"/>
      <c r="S16" s="23">
        <v>0.0</v>
      </c>
      <c r="T16" s="25"/>
      <c r="U16" s="27"/>
      <c r="V16" s="29">
        <v>0.0</v>
      </c>
      <c r="W16" s="59">
        <v>0.0</v>
      </c>
    </row>
    <row r="17">
      <c r="A17" s="33">
        <v>217.0</v>
      </c>
      <c r="B17" s="36" t="s">
        <v>62</v>
      </c>
      <c r="C17" s="37" t="s">
        <v>3</v>
      </c>
      <c r="D17" s="40"/>
      <c r="E17" s="10"/>
      <c r="F17" s="18">
        <v>3.0</v>
      </c>
      <c r="G17" s="40"/>
      <c r="H17" s="10"/>
      <c r="I17" s="12"/>
      <c r="J17" s="18">
        <v>1.0</v>
      </c>
      <c r="K17" s="40"/>
      <c r="L17" s="10"/>
      <c r="M17" s="10"/>
      <c r="N17" s="10"/>
      <c r="O17" s="10"/>
      <c r="P17" s="10"/>
      <c r="Q17" s="10"/>
      <c r="R17" s="10"/>
      <c r="S17" s="23">
        <v>0.0</v>
      </c>
      <c r="T17" s="68"/>
      <c r="U17" s="69"/>
      <c r="V17" s="29">
        <v>0.0</v>
      </c>
      <c r="W17" s="70">
        <v>0.0</v>
      </c>
    </row>
    <row r="18">
      <c r="A18" s="33">
        <v>218.0</v>
      </c>
      <c r="B18" s="36" t="s">
        <v>64</v>
      </c>
      <c r="C18" s="37" t="s">
        <v>3</v>
      </c>
      <c r="D18" s="9">
        <v>2.0</v>
      </c>
      <c r="E18" s="10"/>
      <c r="F18" s="12"/>
      <c r="G18" s="40"/>
      <c r="H18" s="10"/>
      <c r="I18" s="12"/>
      <c r="J18" s="12"/>
      <c r="K18" s="40"/>
      <c r="L18" s="10"/>
      <c r="M18" s="10"/>
      <c r="N18" s="10"/>
      <c r="O18" s="10"/>
      <c r="P18" s="10"/>
      <c r="Q18" s="10"/>
      <c r="R18" s="10"/>
      <c r="S18" s="23">
        <v>0.0</v>
      </c>
      <c r="T18" s="25"/>
      <c r="U18" s="27"/>
      <c r="V18" s="29">
        <v>0.0</v>
      </c>
      <c r="W18" s="59">
        <v>0.0</v>
      </c>
    </row>
    <row r="19">
      <c r="A19" s="33">
        <v>219.0</v>
      </c>
      <c r="B19" s="36" t="s">
        <v>65</v>
      </c>
      <c r="C19" s="37" t="s">
        <v>3</v>
      </c>
      <c r="D19" s="40"/>
      <c r="E19" s="71"/>
      <c r="F19" s="12"/>
      <c r="G19" s="40"/>
      <c r="H19" s="45">
        <v>2.0</v>
      </c>
      <c r="I19" s="12"/>
      <c r="J19" s="18">
        <v>1.0</v>
      </c>
      <c r="K19" s="9">
        <v>1.0</v>
      </c>
      <c r="L19" s="10"/>
      <c r="M19" s="10"/>
      <c r="N19" s="10"/>
      <c r="O19" s="10"/>
      <c r="P19" s="10"/>
      <c r="Q19" s="10"/>
      <c r="R19" s="10"/>
      <c r="S19" s="23">
        <v>0.0</v>
      </c>
      <c r="T19" s="25"/>
      <c r="U19" s="27"/>
      <c r="V19" s="29">
        <v>0.0</v>
      </c>
      <c r="W19" s="59">
        <v>0.0</v>
      </c>
    </row>
    <row r="20">
      <c r="A20" s="33">
        <v>220.0</v>
      </c>
      <c r="B20" s="36" t="s">
        <v>68</v>
      </c>
      <c r="C20" s="37" t="s">
        <v>3</v>
      </c>
      <c r="D20" s="40"/>
      <c r="E20" s="10"/>
      <c r="F20" s="12"/>
      <c r="G20" s="40"/>
      <c r="H20" s="10"/>
      <c r="I20" s="12"/>
      <c r="J20" s="12"/>
      <c r="K20" s="40"/>
      <c r="L20" s="10"/>
      <c r="M20" s="10"/>
      <c r="N20" s="10"/>
      <c r="O20" s="10"/>
      <c r="P20" s="10"/>
      <c r="Q20" s="10"/>
      <c r="R20" s="10"/>
      <c r="S20" s="23">
        <v>0.0</v>
      </c>
      <c r="T20" s="25"/>
      <c r="U20" s="27"/>
      <c r="V20" s="29">
        <v>0.0</v>
      </c>
      <c r="W20" s="59">
        <v>0.0</v>
      </c>
    </row>
    <row r="21">
      <c r="A21" s="75">
        <v>221.0</v>
      </c>
      <c r="B21" s="76" t="s">
        <v>70</v>
      </c>
      <c r="C21" s="37" t="s">
        <v>3</v>
      </c>
      <c r="D21" s="40"/>
      <c r="E21" s="10"/>
      <c r="F21" s="18">
        <v>1.0</v>
      </c>
      <c r="G21" s="40"/>
      <c r="H21" s="10"/>
      <c r="I21" s="12"/>
      <c r="J21" s="18">
        <v>3.0</v>
      </c>
      <c r="K21" s="40"/>
      <c r="L21" s="10"/>
      <c r="M21" s="10"/>
      <c r="N21" s="10"/>
      <c r="O21" s="10"/>
      <c r="P21" s="10"/>
      <c r="Q21" s="10"/>
      <c r="R21" s="10"/>
      <c r="S21" s="23">
        <v>0.0</v>
      </c>
      <c r="T21" s="25"/>
      <c r="U21" s="27"/>
      <c r="V21" s="29">
        <v>0.0</v>
      </c>
      <c r="W21" s="59">
        <v>0.0</v>
      </c>
    </row>
    <row r="22">
      <c r="A22" s="4">
        <v>222.0</v>
      </c>
      <c r="B22" s="6" t="s">
        <v>71</v>
      </c>
      <c r="C22" s="37" t="s">
        <v>3</v>
      </c>
      <c r="D22" s="9">
        <v>1.0</v>
      </c>
      <c r="E22" s="71"/>
      <c r="F22" s="18">
        <v>1.0</v>
      </c>
      <c r="G22" s="40"/>
      <c r="H22" s="10"/>
      <c r="I22" s="18">
        <v>1.0</v>
      </c>
      <c r="J22" s="12"/>
      <c r="K22" s="40"/>
      <c r="L22" s="10"/>
      <c r="M22" s="10"/>
      <c r="N22" s="10"/>
      <c r="O22" s="10"/>
      <c r="P22" s="10"/>
      <c r="Q22" s="10"/>
      <c r="R22" s="10"/>
      <c r="S22" s="23">
        <v>0.0</v>
      </c>
      <c r="T22" s="25"/>
      <c r="U22" s="27"/>
      <c r="V22" s="29">
        <v>0.0</v>
      </c>
      <c r="W22" s="59">
        <v>0.0</v>
      </c>
    </row>
    <row r="23">
      <c r="A23" s="33">
        <v>223.0</v>
      </c>
      <c r="B23" s="36" t="s">
        <v>74</v>
      </c>
      <c r="C23" s="37" t="s">
        <v>3</v>
      </c>
      <c r="D23" s="40"/>
      <c r="E23" s="10"/>
      <c r="F23" s="12"/>
      <c r="G23" s="40"/>
      <c r="H23" s="10"/>
      <c r="I23" s="12"/>
      <c r="J23" s="12"/>
      <c r="K23" s="9">
        <v>1.0</v>
      </c>
      <c r="L23" s="10"/>
      <c r="M23" s="10"/>
      <c r="N23" s="10"/>
      <c r="O23" s="10"/>
      <c r="P23" s="10"/>
      <c r="Q23" s="10"/>
      <c r="R23" s="10"/>
      <c r="S23" s="23">
        <v>0.0</v>
      </c>
      <c r="T23" s="25"/>
      <c r="U23" s="27"/>
      <c r="V23" s="29">
        <v>0.0</v>
      </c>
      <c r="W23" s="59">
        <v>0.0</v>
      </c>
    </row>
    <row r="24">
      <c r="A24" s="33">
        <v>224.0</v>
      </c>
      <c r="B24" s="36" t="s">
        <v>76</v>
      </c>
      <c r="C24" s="37" t="s">
        <v>3</v>
      </c>
      <c r="D24" s="40"/>
      <c r="E24" s="10"/>
      <c r="F24" s="12"/>
      <c r="G24" s="40"/>
      <c r="H24" s="10"/>
      <c r="I24" s="12"/>
      <c r="J24" s="12"/>
      <c r="K24" s="40"/>
      <c r="L24" s="10"/>
      <c r="M24" s="10"/>
      <c r="N24" s="10"/>
      <c r="O24" s="10"/>
      <c r="P24" s="10"/>
      <c r="Q24" s="10"/>
      <c r="R24" s="10"/>
      <c r="S24" s="23">
        <v>0.0</v>
      </c>
      <c r="T24" s="25"/>
      <c r="U24" s="27"/>
      <c r="V24" s="29">
        <v>0.0</v>
      </c>
      <c r="W24" s="59">
        <v>0.0</v>
      </c>
    </row>
    <row r="25">
      <c r="A25" s="33">
        <v>225.0</v>
      </c>
      <c r="B25" s="36" t="s">
        <v>80</v>
      </c>
      <c r="C25" s="37" t="s">
        <v>3</v>
      </c>
      <c r="D25" s="40"/>
      <c r="E25" s="10"/>
      <c r="F25" s="12"/>
      <c r="G25" s="40"/>
      <c r="H25" s="45">
        <v>2.0</v>
      </c>
      <c r="I25" s="12"/>
      <c r="J25" s="18">
        <v>2.0</v>
      </c>
      <c r="K25" s="40"/>
      <c r="L25" s="10"/>
      <c r="M25" s="10"/>
      <c r="N25" s="10"/>
      <c r="O25" s="10"/>
      <c r="P25" s="10"/>
      <c r="Q25" s="10"/>
      <c r="R25" s="10"/>
      <c r="S25" s="23">
        <v>0.0</v>
      </c>
      <c r="T25" s="25"/>
      <c r="U25" s="27"/>
      <c r="V25" s="29">
        <v>0.0</v>
      </c>
      <c r="W25" s="59">
        <v>0.0</v>
      </c>
    </row>
    <row r="26">
      <c r="A26" s="33">
        <v>301.0</v>
      </c>
      <c r="B26" s="36" t="s">
        <v>83</v>
      </c>
      <c r="C26" s="37" t="s">
        <v>3</v>
      </c>
      <c r="D26" s="40"/>
      <c r="E26" s="10"/>
      <c r="F26" s="18">
        <v>5.0</v>
      </c>
      <c r="G26" s="40"/>
      <c r="H26" s="10"/>
      <c r="I26" s="12"/>
      <c r="J26" s="12"/>
      <c r="K26" s="40"/>
      <c r="L26" s="10"/>
      <c r="M26" s="10"/>
      <c r="N26" s="10"/>
      <c r="O26" s="10"/>
      <c r="P26" s="10"/>
      <c r="Q26" s="10"/>
      <c r="R26" s="10"/>
      <c r="S26" s="23">
        <v>0.0</v>
      </c>
      <c r="T26" s="25"/>
      <c r="U26" s="27"/>
      <c r="V26" s="29">
        <v>0.0</v>
      </c>
      <c r="W26" s="59">
        <v>0.0</v>
      </c>
    </row>
    <row r="27">
      <c r="A27" s="33">
        <v>302.0</v>
      </c>
      <c r="B27" s="36" t="s">
        <v>84</v>
      </c>
      <c r="C27" s="37" t="s">
        <v>3</v>
      </c>
      <c r="D27" s="9">
        <v>2.0</v>
      </c>
      <c r="E27" s="10"/>
      <c r="F27" s="12"/>
      <c r="G27" s="40"/>
      <c r="H27" s="10"/>
      <c r="I27" s="18">
        <v>1.0</v>
      </c>
      <c r="J27" s="12"/>
      <c r="K27" s="40"/>
      <c r="L27" s="10"/>
      <c r="M27" s="10"/>
      <c r="N27" s="10"/>
      <c r="O27" s="10"/>
      <c r="P27" s="10"/>
      <c r="Q27" s="10"/>
      <c r="R27" s="10"/>
      <c r="S27" s="23">
        <v>0.0</v>
      </c>
      <c r="T27" s="25"/>
      <c r="U27" s="27"/>
      <c r="V27" s="29">
        <v>0.0</v>
      </c>
      <c r="W27" s="59">
        <v>0.0</v>
      </c>
    </row>
    <row r="28">
      <c r="A28" s="33">
        <v>303.0</v>
      </c>
      <c r="B28" s="36" t="s">
        <v>86</v>
      </c>
      <c r="C28" s="37" t="s">
        <v>3</v>
      </c>
      <c r="D28" s="40"/>
      <c r="E28" s="10"/>
      <c r="F28" s="12"/>
      <c r="G28" s="9">
        <v>1.0</v>
      </c>
      <c r="H28" s="10"/>
      <c r="I28" s="18">
        <v>2.0</v>
      </c>
      <c r="J28" s="18">
        <v>1.0</v>
      </c>
      <c r="K28" s="40"/>
      <c r="L28" s="10"/>
      <c r="M28" s="10"/>
      <c r="N28" s="10"/>
      <c r="O28" s="10"/>
      <c r="P28" s="10"/>
      <c r="Q28" s="10"/>
      <c r="R28" s="10"/>
      <c r="S28" s="23">
        <v>0.0</v>
      </c>
      <c r="T28" s="25"/>
      <c r="U28" s="27"/>
      <c r="V28" s="29">
        <v>0.0</v>
      </c>
      <c r="W28" s="59">
        <v>0.0</v>
      </c>
    </row>
    <row r="29">
      <c r="A29" s="33">
        <v>304.0</v>
      </c>
      <c r="B29" s="36" t="s">
        <v>88</v>
      </c>
      <c r="C29" s="37" t="s">
        <v>3</v>
      </c>
      <c r="D29" s="9">
        <v>2.0</v>
      </c>
      <c r="E29" s="10"/>
      <c r="F29" s="12"/>
      <c r="G29" s="40"/>
      <c r="H29" s="10"/>
      <c r="I29" s="18">
        <v>2.0</v>
      </c>
      <c r="J29" s="12"/>
      <c r="K29" s="40"/>
      <c r="L29" s="10"/>
      <c r="M29" s="10"/>
      <c r="N29" s="10"/>
      <c r="O29" s="10"/>
      <c r="P29" s="10"/>
      <c r="Q29" s="10"/>
      <c r="R29" s="10"/>
      <c r="S29" s="23">
        <v>0.0</v>
      </c>
      <c r="T29" s="25"/>
      <c r="U29" s="27"/>
      <c r="V29" s="29">
        <v>0.0</v>
      </c>
      <c r="W29" s="59">
        <v>0.0</v>
      </c>
    </row>
    <row r="30">
      <c r="A30" s="33">
        <v>305.0</v>
      </c>
      <c r="B30" s="36" t="s">
        <v>89</v>
      </c>
      <c r="C30" s="37" t="s">
        <v>3</v>
      </c>
      <c r="D30" s="40"/>
      <c r="E30" s="10"/>
      <c r="F30" s="12"/>
      <c r="G30" s="40"/>
      <c r="H30" s="10"/>
      <c r="I30" s="12"/>
      <c r="J30" s="12"/>
      <c r="K30" s="40"/>
      <c r="L30" s="10"/>
      <c r="M30" s="10"/>
      <c r="N30" s="10"/>
      <c r="O30" s="10"/>
      <c r="P30" s="10"/>
      <c r="Q30" s="10"/>
      <c r="R30" s="10"/>
      <c r="S30" s="23">
        <v>0.0</v>
      </c>
      <c r="T30" s="25"/>
      <c r="U30" s="27"/>
      <c r="V30" s="29">
        <v>0.0</v>
      </c>
      <c r="W30" s="59">
        <v>0.0</v>
      </c>
    </row>
    <row r="31">
      <c r="A31" s="33">
        <v>306.0</v>
      </c>
      <c r="B31" s="36" t="s">
        <v>90</v>
      </c>
      <c r="C31" s="37" t="s">
        <v>3</v>
      </c>
      <c r="D31" s="40"/>
      <c r="E31" s="10"/>
      <c r="F31" s="12"/>
      <c r="G31" s="40"/>
      <c r="H31" s="10"/>
      <c r="I31" s="12"/>
      <c r="J31" s="12"/>
      <c r="K31" s="40"/>
      <c r="L31" s="10"/>
      <c r="M31" s="10"/>
      <c r="N31" s="10"/>
      <c r="O31" s="10"/>
      <c r="P31" s="10"/>
      <c r="Q31" s="10"/>
      <c r="R31" s="10"/>
      <c r="S31" s="23">
        <v>0.0</v>
      </c>
      <c r="T31" s="25"/>
      <c r="U31" s="27"/>
      <c r="V31" s="29">
        <v>0.0</v>
      </c>
      <c r="W31" s="59">
        <v>0.0</v>
      </c>
    </row>
    <row r="32">
      <c r="A32" s="33">
        <v>306.0</v>
      </c>
      <c r="B32" s="36" t="s">
        <v>91</v>
      </c>
      <c r="C32" s="37" t="s">
        <v>3</v>
      </c>
      <c r="D32" s="40"/>
      <c r="E32" s="10"/>
      <c r="F32" s="12"/>
      <c r="G32" s="40"/>
      <c r="H32" s="10"/>
      <c r="I32" s="12"/>
      <c r="J32" s="12"/>
      <c r="K32" s="40"/>
      <c r="L32" s="10"/>
      <c r="M32" s="10"/>
      <c r="N32" s="10"/>
      <c r="O32" s="10"/>
      <c r="P32" s="10"/>
      <c r="Q32" s="10"/>
      <c r="R32" s="10"/>
      <c r="S32" s="23">
        <v>0.0</v>
      </c>
      <c r="T32" s="25"/>
      <c r="U32" s="27"/>
      <c r="V32" s="29">
        <v>0.0</v>
      </c>
      <c r="W32" s="59">
        <v>0.0</v>
      </c>
    </row>
    <row r="33">
      <c r="A33" s="33">
        <v>307.0</v>
      </c>
      <c r="B33" s="36" t="s">
        <v>93</v>
      </c>
      <c r="C33" s="55" t="s">
        <v>3</v>
      </c>
      <c r="D33" s="40"/>
      <c r="E33" s="10"/>
      <c r="F33" s="12"/>
      <c r="G33" s="40"/>
      <c r="H33" s="10"/>
      <c r="I33" s="12"/>
      <c r="J33" s="12"/>
      <c r="K33" s="40"/>
      <c r="L33" s="10"/>
      <c r="M33" s="10"/>
      <c r="N33" s="10"/>
      <c r="O33" s="10"/>
      <c r="P33" s="10"/>
      <c r="Q33" s="10"/>
      <c r="R33" s="10"/>
      <c r="S33" s="23">
        <v>0.0</v>
      </c>
      <c r="T33" s="25"/>
      <c r="U33" s="27"/>
      <c r="V33" s="29">
        <v>0.0</v>
      </c>
      <c r="W33" s="59">
        <v>0.0</v>
      </c>
    </row>
    <row r="34">
      <c r="A34" s="33">
        <v>308.0</v>
      </c>
      <c r="B34" s="36" t="s">
        <v>94</v>
      </c>
      <c r="C34" s="37" t="s">
        <v>3</v>
      </c>
      <c r="D34" s="9">
        <v>2.0</v>
      </c>
      <c r="E34" s="10"/>
      <c r="F34" s="18">
        <v>1.0</v>
      </c>
      <c r="G34" s="40"/>
      <c r="H34" s="10"/>
      <c r="I34" s="12"/>
      <c r="J34" s="12"/>
      <c r="K34" s="40"/>
      <c r="L34" s="10"/>
      <c r="M34" s="10"/>
      <c r="N34" s="10"/>
      <c r="O34" s="10"/>
      <c r="P34" s="10"/>
      <c r="Q34" s="10"/>
      <c r="R34" s="10"/>
      <c r="S34" s="23">
        <v>0.0</v>
      </c>
      <c r="T34" s="25"/>
      <c r="U34" s="27"/>
      <c r="V34" s="29">
        <v>0.0</v>
      </c>
      <c r="W34" s="59">
        <v>0.0</v>
      </c>
    </row>
    <row r="35">
      <c r="A35" s="33">
        <v>309.0</v>
      </c>
      <c r="B35" s="36" t="s">
        <v>96</v>
      </c>
      <c r="C35" s="37" t="s">
        <v>3</v>
      </c>
      <c r="D35" s="40"/>
      <c r="E35" s="10"/>
      <c r="F35" s="12"/>
      <c r="G35" s="40"/>
      <c r="H35" s="10"/>
      <c r="I35" s="12"/>
      <c r="J35" s="12"/>
      <c r="K35" s="40"/>
      <c r="L35" s="10"/>
      <c r="M35" s="10"/>
      <c r="N35" s="10"/>
      <c r="O35" s="10"/>
      <c r="P35" s="10"/>
      <c r="Q35" s="10"/>
      <c r="R35" s="10"/>
      <c r="S35" s="23">
        <v>0.0</v>
      </c>
      <c r="T35" s="25"/>
      <c r="U35" s="27"/>
      <c r="V35" s="29">
        <v>0.0</v>
      </c>
      <c r="W35" s="59">
        <v>0.0</v>
      </c>
    </row>
    <row r="36">
      <c r="A36" s="33">
        <v>310.0</v>
      </c>
      <c r="B36" s="36" t="s">
        <v>97</v>
      </c>
      <c r="C36" s="37" t="s">
        <v>3</v>
      </c>
      <c r="D36" s="40"/>
      <c r="E36" s="12"/>
      <c r="F36" s="12"/>
      <c r="G36" s="40"/>
      <c r="H36" s="10"/>
      <c r="I36" s="12"/>
      <c r="J36" s="12"/>
      <c r="K36" s="40"/>
      <c r="L36" s="10"/>
      <c r="M36" s="10"/>
      <c r="N36" s="10"/>
      <c r="O36" s="10"/>
      <c r="P36" s="10"/>
      <c r="Q36" s="10"/>
      <c r="R36" s="10"/>
      <c r="S36" s="23">
        <v>0.0</v>
      </c>
      <c r="T36" s="25"/>
      <c r="U36" s="27"/>
      <c r="V36" s="29">
        <v>0.0</v>
      </c>
      <c r="W36" s="59">
        <v>0.0</v>
      </c>
    </row>
    <row r="37">
      <c r="A37" s="33">
        <v>311.0</v>
      </c>
      <c r="B37" s="36" t="s">
        <v>98</v>
      </c>
      <c r="C37" s="37" t="s">
        <v>3</v>
      </c>
      <c r="D37" s="40"/>
      <c r="E37" s="12"/>
      <c r="F37" s="18">
        <v>1.0</v>
      </c>
      <c r="G37" s="40"/>
      <c r="H37" s="10"/>
      <c r="I37" s="12"/>
      <c r="J37" s="18">
        <v>1.0</v>
      </c>
      <c r="K37" s="40"/>
      <c r="L37" s="10"/>
      <c r="M37" s="10"/>
      <c r="N37" s="10"/>
      <c r="O37" s="10"/>
      <c r="P37" s="10"/>
      <c r="Q37" s="10"/>
      <c r="R37" s="10"/>
      <c r="S37" s="23">
        <v>0.0</v>
      </c>
      <c r="T37" s="25"/>
      <c r="U37" s="27"/>
      <c r="V37" s="29">
        <v>0.0</v>
      </c>
      <c r="W37" s="59">
        <v>0.0</v>
      </c>
    </row>
    <row r="38">
      <c r="A38" s="33">
        <v>312.0</v>
      </c>
      <c r="B38" s="36" t="s">
        <v>100</v>
      </c>
      <c r="C38" s="37" t="s">
        <v>3</v>
      </c>
      <c r="D38" s="9">
        <v>1.0</v>
      </c>
      <c r="E38" s="10"/>
      <c r="F38" s="12"/>
      <c r="G38" s="40"/>
      <c r="H38" s="10"/>
      <c r="I38" s="12"/>
      <c r="J38" s="12"/>
      <c r="K38" s="40"/>
      <c r="L38" s="10"/>
      <c r="M38" s="10"/>
      <c r="N38" s="10"/>
      <c r="O38" s="10"/>
      <c r="P38" s="10"/>
      <c r="Q38" s="10"/>
      <c r="R38" s="10"/>
      <c r="S38" s="23">
        <v>0.0</v>
      </c>
      <c r="T38" s="25"/>
      <c r="U38" s="27"/>
      <c r="V38" s="29">
        <v>0.0</v>
      </c>
      <c r="W38" s="59">
        <v>0.0</v>
      </c>
    </row>
    <row r="39">
      <c r="A39" s="33">
        <v>313.0</v>
      </c>
      <c r="B39" s="36" t="s">
        <v>101</v>
      </c>
      <c r="C39" s="37" t="s">
        <v>3</v>
      </c>
      <c r="D39" s="9">
        <v>2.0</v>
      </c>
      <c r="E39" s="10"/>
      <c r="F39" s="18">
        <v>1.0</v>
      </c>
      <c r="G39" s="40"/>
      <c r="H39" s="10"/>
      <c r="I39" s="18">
        <v>1.0</v>
      </c>
      <c r="J39" s="12"/>
      <c r="K39" s="40"/>
      <c r="L39" s="10"/>
      <c r="M39" s="10"/>
      <c r="N39" s="10"/>
      <c r="O39" s="10"/>
      <c r="P39" s="10"/>
      <c r="Q39" s="10"/>
      <c r="R39" s="10"/>
      <c r="S39" s="23">
        <v>0.0</v>
      </c>
      <c r="T39" s="25"/>
      <c r="U39" s="27"/>
      <c r="V39" s="29">
        <v>0.0</v>
      </c>
      <c r="W39" s="59">
        <v>0.0</v>
      </c>
    </row>
    <row r="40">
      <c r="A40" s="33">
        <v>314.0</v>
      </c>
      <c r="B40" s="36" t="s">
        <v>103</v>
      </c>
      <c r="C40" s="37" t="s">
        <v>3</v>
      </c>
      <c r="D40" s="40"/>
      <c r="E40" s="10"/>
      <c r="F40" s="12"/>
      <c r="G40" s="40"/>
      <c r="H40" s="10"/>
      <c r="I40" s="12"/>
      <c r="J40" s="12"/>
      <c r="K40" s="40"/>
      <c r="L40" s="10"/>
      <c r="M40" s="10"/>
      <c r="N40" s="10"/>
      <c r="O40" s="10"/>
      <c r="P40" s="10"/>
      <c r="Q40" s="10"/>
      <c r="R40" s="10"/>
      <c r="S40" s="23">
        <v>0.0</v>
      </c>
      <c r="T40" s="25"/>
      <c r="U40" s="27"/>
      <c r="V40" s="29">
        <v>0.0</v>
      </c>
      <c r="W40" s="59">
        <v>0.0</v>
      </c>
    </row>
    <row r="41">
      <c r="A41" s="33">
        <v>315.0</v>
      </c>
      <c r="B41" s="36" t="s">
        <v>104</v>
      </c>
      <c r="C41" s="37" t="s">
        <v>3</v>
      </c>
      <c r="D41" s="9">
        <v>2.0</v>
      </c>
      <c r="E41" s="10"/>
      <c r="F41" s="18">
        <v>1.0</v>
      </c>
      <c r="G41" s="40"/>
      <c r="H41" s="10"/>
      <c r="I41" s="18">
        <v>1.0</v>
      </c>
      <c r="J41" s="12"/>
      <c r="K41" s="40"/>
      <c r="L41" s="10"/>
      <c r="M41" s="10"/>
      <c r="N41" s="10"/>
      <c r="O41" s="10"/>
      <c r="P41" s="10"/>
      <c r="Q41" s="10"/>
      <c r="R41" s="10"/>
      <c r="S41" s="23">
        <v>0.0</v>
      </c>
      <c r="T41" s="25"/>
      <c r="U41" s="27"/>
      <c r="V41" s="29">
        <v>0.0</v>
      </c>
      <c r="W41" s="59">
        <v>0.0</v>
      </c>
    </row>
    <row r="42">
      <c r="A42" s="33">
        <v>316.0</v>
      </c>
      <c r="B42" s="36" t="s">
        <v>105</v>
      </c>
      <c r="C42" s="37" t="s">
        <v>3</v>
      </c>
      <c r="D42" s="40"/>
      <c r="E42" s="10"/>
      <c r="F42" s="12"/>
      <c r="G42" s="40"/>
      <c r="H42" s="10"/>
      <c r="I42" s="12"/>
      <c r="J42" s="12"/>
      <c r="K42" s="40"/>
      <c r="L42" s="10"/>
      <c r="M42" s="10"/>
      <c r="N42" s="10"/>
      <c r="O42" s="10"/>
      <c r="P42" s="10"/>
      <c r="Q42" s="10"/>
      <c r="R42" s="10"/>
      <c r="S42" s="23">
        <v>0.0</v>
      </c>
      <c r="T42" s="25"/>
      <c r="U42" s="27"/>
      <c r="V42" s="29">
        <v>0.0</v>
      </c>
      <c r="W42" s="59">
        <v>0.0</v>
      </c>
    </row>
    <row r="43">
      <c r="A43" s="33">
        <v>317.0</v>
      </c>
      <c r="B43" s="36" t="s">
        <v>107</v>
      </c>
      <c r="C43" s="37" t="s">
        <v>3</v>
      </c>
      <c r="D43" s="40"/>
      <c r="E43" s="10"/>
      <c r="F43" s="12"/>
      <c r="G43" s="40"/>
      <c r="H43" s="10"/>
      <c r="I43" s="12"/>
      <c r="J43" s="12"/>
      <c r="K43" s="9">
        <v>6.0</v>
      </c>
      <c r="L43" s="10"/>
      <c r="M43" s="10"/>
      <c r="N43" s="10"/>
      <c r="O43" s="10"/>
      <c r="P43" s="10"/>
      <c r="Q43" s="10"/>
      <c r="R43" s="10"/>
      <c r="S43" s="23">
        <v>0.0</v>
      </c>
      <c r="T43" s="25"/>
      <c r="U43" s="27"/>
      <c r="V43" s="29">
        <v>0.0</v>
      </c>
      <c r="W43" s="59">
        <v>0.0</v>
      </c>
    </row>
    <row r="44">
      <c r="A44" s="33">
        <v>318.0</v>
      </c>
      <c r="B44" s="36" t="s">
        <v>109</v>
      </c>
      <c r="C44" s="37" t="s">
        <v>3</v>
      </c>
      <c r="D44" s="40"/>
      <c r="E44" s="10"/>
      <c r="F44" s="12"/>
      <c r="G44" s="40"/>
      <c r="H44" s="10"/>
      <c r="I44" s="12"/>
      <c r="J44" s="18">
        <v>1.0</v>
      </c>
      <c r="K44" s="40"/>
      <c r="L44" s="10"/>
      <c r="M44" s="10"/>
      <c r="N44" s="10"/>
      <c r="O44" s="10"/>
      <c r="P44" s="10"/>
      <c r="Q44" s="10"/>
      <c r="R44" s="10"/>
      <c r="S44" s="23">
        <v>0.0</v>
      </c>
      <c r="T44" s="25"/>
      <c r="U44" s="27"/>
      <c r="V44" s="29">
        <v>0.0</v>
      </c>
      <c r="W44" s="59">
        <v>0.0</v>
      </c>
    </row>
    <row r="45">
      <c r="A45" s="33">
        <v>319.0</v>
      </c>
      <c r="B45" s="36" t="s">
        <v>110</v>
      </c>
      <c r="C45" s="37" t="s">
        <v>3</v>
      </c>
      <c r="D45" s="40"/>
      <c r="E45" s="10"/>
      <c r="F45" s="12"/>
      <c r="G45" s="40"/>
      <c r="H45" s="10"/>
      <c r="I45" s="12"/>
      <c r="J45" s="12"/>
      <c r="K45" s="40"/>
      <c r="L45" s="10"/>
      <c r="M45" s="10"/>
      <c r="N45" s="10"/>
      <c r="O45" s="10"/>
      <c r="P45" s="10"/>
      <c r="Q45" s="10"/>
      <c r="R45" s="10"/>
      <c r="S45" s="23">
        <v>0.0</v>
      </c>
      <c r="T45" s="25"/>
      <c r="U45" s="27"/>
      <c r="V45" s="29">
        <v>0.0</v>
      </c>
      <c r="W45" s="59">
        <v>0.0</v>
      </c>
    </row>
    <row r="46">
      <c r="A46" s="33">
        <v>320.0</v>
      </c>
      <c r="B46" s="36" t="s">
        <v>111</v>
      </c>
      <c r="C46" s="37" t="s">
        <v>3</v>
      </c>
      <c r="D46" s="9">
        <v>1.0</v>
      </c>
      <c r="E46" s="10"/>
      <c r="F46" s="18">
        <v>1.0</v>
      </c>
      <c r="G46" s="40"/>
      <c r="H46" s="10"/>
      <c r="I46" s="12"/>
      <c r="J46" s="12"/>
      <c r="K46" s="40"/>
      <c r="L46" s="10"/>
      <c r="M46" s="10"/>
      <c r="N46" s="10"/>
      <c r="O46" s="10"/>
      <c r="P46" s="10"/>
      <c r="Q46" s="10"/>
      <c r="R46" s="10"/>
      <c r="S46" s="23">
        <v>0.0</v>
      </c>
      <c r="T46" s="68"/>
      <c r="U46" s="69"/>
      <c r="V46" s="29">
        <v>0.0</v>
      </c>
      <c r="W46" s="70">
        <v>0.0</v>
      </c>
    </row>
    <row r="47">
      <c r="A47" s="33">
        <v>321.0</v>
      </c>
      <c r="B47" s="36" t="s">
        <v>112</v>
      </c>
      <c r="C47" s="37" t="s">
        <v>3</v>
      </c>
      <c r="D47" s="18">
        <v>1.0</v>
      </c>
      <c r="E47" s="79"/>
      <c r="F47" s="18">
        <v>1.0</v>
      </c>
      <c r="G47" s="40"/>
      <c r="H47" s="10"/>
      <c r="I47" s="12"/>
      <c r="J47" s="12"/>
      <c r="K47" s="40"/>
      <c r="L47" s="10"/>
      <c r="M47" s="10"/>
      <c r="N47" s="10"/>
      <c r="O47" s="10"/>
      <c r="P47" s="10"/>
      <c r="Q47" s="10"/>
      <c r="R47" s="10"/>
      <c r="S47" s="23">
        <v>0.0</v>
      </c>
      <c r="T47" s="25"/>
      <c r="U47" s="27"/>
      <c r="V47" s="29">
        <v>0.0</v>
      </c>
      <c r="W47" s="59">
        <v>0.0</v>
      </c>
    </row>
    <row r="48">
      <c r="A48" s="33">
        <v>322.0</v>
      </c>
      <c r="B48" s="36" t="s">
        <v>115</v>
      </c>
      <c r="C48" s="37" t="s">
        <v>3</v>
      </c>
      <c r="D48" s="12"/>
      <c r="E48" s="79"/>
      <c r="F48" s="12"/>
      <c r="G48" s="9">
        <v>1.0</v>
      </c>
      <c r="H48" s="10"/>
      <c r="I48" s="12"/>
      <c r="J48" s="12"/>
      <c r="K48" s="9">
        <v>5.0</v>
      </c>
      <c r="L48" s="10"/>
      <c r="M48" s="10"/>
      <c r="N48" s="10"/>
      <c r="O48" s="10"/>
      <c r="P48" s="10"/>
      <c r="Q48" s="10"/>
      <c r="R48" s="10"/>
      <c r="S48" s="23">
        <v>0.0</v>
      </c>
      <c r="T48" s="25"/>
      <c r="U48" s="27"/>
      <c r="V48" s="29">
        <v>0.0</v>
      </c>
      <c r="W48" s="59">
        <v>0.0</v>
      </c>
    </row>
    <row r="49">
      <c r="A49" s="33">
        <v>324.0</v>
      </c>
      <c r="B49" s="36" t="s">
        <v>116</v>
      </c>
      <c r="C49" s="37" t="s">
        <v>3</v>
      </c>
      <c r="D49" s="9">
        <v>1.0</v>
      </c>
      <c r="E49" s="10"/>
      <c r="F49" s="12"/>
      <c r="G49" s="40"/>
      <c r="H49" s="10"/>
      <c r="I49" s="12"/>
      <c r="J49" s="12"/>
      <c r="K49" s="40"/>
      <c r="L49" s="10"/>
      <c r="M49" s="10"/>
      <c r="N49" s="10"/>
      <c r="O49" s="10"/>
      <c r="P49" s="10"/>
      <c r="Q49" s="10"/>
      <c r="R49" s="10"/>
      <c r="S49" s="23">
        <v>0.0</v>
      </c>
      <c r="T49" s="25"/>
      <c r="U49" s="27"/>
      <c r="V49" s="29">
        <v>0.0</v>
      </c>
      <c r="W49" s="59">
        <v>0.0</v>
      </c>
    </row>
    <row r="50">
      <c r="A50" s="33">
        <v>324.0</v>
      </c>
      <c r="B50" s="36" t="s">
        <v>119</v>
      </c>
      <c r="C50" s="37" t="s">
        <v>3</v>
      </c>
      <c r="D50" s="40"/>
      <c r="E50" s="10"/>
      <c r="F50" s="12"/>
      <c r="G50" s="40"/>
      <c r="H50" s="10"/>
      <c r="I50" s="18">
        <v>4.0</v>
      </c>
      <c r="J50" s="12"/>
      <c r="K50" s="9">
        <v>5.0</v>
      </c>
      <c r="L50" s="10"/>
      <c r="M50" s="10"/>
      <c r="N50" s="10"/>
      <c r="O50" s="10"/>
      <c r="P50" s="10"/>
      <c r="Q50" s="10"/>
      <c r="R50" s="10"/>
      <c r="S50" s="23">
        <v>0.0</v>
      </c>
      <c r="T50" s="25"/>
      <c r="U50" s="27"/>
      <c r="V50" s="29">
        <v>0.0</v>
      </c>
      <c r="W50" s="59">
        <v>0.0</v>
      </c>
    </row>
    <row r="51">
      <c r="A51" s="82">
        <v>325.0</v>
      </c>
      <c r="B51" s="36" t="s">
        <v>122</v>
      </c>
      <c r="C51" s="37" t="s">
        <v>3</v>
      </c>
      <c r="D51" s="40"/>
      <c r="E51" s="10"/>
      <c r="F51" s="12"/>
      <c r="G51" s="40"/>
      <c r="H51" s="10"/>
      <c r="I51" s="12"/>
      <c r="J51" s="12"/>
      <c r="K51" s="40"/>
      <c r="L51" s="10"/>
      <c r="M51" s="10"/>
      <c r="N51" s="10"/>
      <c r="O51" s="10"/>
      <c r="P51" s="10"/>
      <c r="Q51" s="10"/>
      <c r="R51" s="10"/>
      <c r="S51" s="23">
        <v>0.0</v>
      </c>
      <c r="T51" s="25"/>
      <c r="U51" s="27"/>
      <c r="V51" s="29">
        <v>0.0</v>
      </c>
      <c r="W51" s="59">
        <v>0.0</v>
      </c>
    </row>
    <row r="52">
      <c r="A52" s="84"/>
      <c r="B52" s="85"/>
      <c r="C52" s="37" t="s">
        <v>3</v>
      </c>
      <c r="D52" s="40"/>
      <c r="E52" s="10"/>
      <c r="F52" s="12"/>
      <c r="G52" s="40"/>
      <c r="H52" s="10"/>
      <c r="I52" s="12"/>
      <c r="J52" s="12"/>
      <c r="K52" s="40"/>
      <c r="L52" s="10"/>
      <c r="M52" s="10"/>
      <c r="N52" s="10"/>
      <c r="O52" s="10"/>
      <c r="P52" s="10"/>
      <c r="Q52" s="10"/>
      <c r="R52" s="10"/>
      <c r="S52" s="23">
        <v>0.0</v>
      </c>
      <c r="T52" s="25"/>
      <c r="U52" s="27"/>
      <c r="V52" s="29">
        <v>0.0</v>
      </c>
      <c r="W52" s="59">
        <v>0.0</v>
      </c>
    </row>
    <row r="53">
      <c r="A53" s="84"/>
      <c r="B53" s="85"/>
      <c r="C53" s="37" t="s">
        <v>3</v>
      </c>
      <c r="D53" s="40"/>
      <c r="E53" s="10"/>
      <c r="F53" s="12"/>
      <c r="G53" s="40"/>
      <c r="H53" s="10"/>
      <c r="I53" s="12"/>
      <c r="J53" s="12"/>
      <c r="K53" s="40"/>
      <c r="L53" s="10"/>
      <c r="M53" s="10"/>
      <c r="N53" s="10"/>
      <c r="O53" s="10"/>
      <c r="P53" s="10"/>
      <c r="Q53" s="10"/>
      <c r="R53" s="10"/>
      <c r="S53" s="23">
        <v>0.0</v>
      </c>
      <c r="T53" s="25"/>
      <c r="U53" s="27"/>
      <c r="V53" s="29">
        <v>0.0</v>
      </c>
      <c r="W53" s="59">
        <v>0.0</v>
      </c>
    </row>
    <row r="54">
      <c r="A54" s="84"/>
      <c r="B54" s="85"/>
      <c r="C54" s="37" t="s">
        <v>3</v>
      </c>
      <c r="D54" s="40"/>
      <c r="E54" s="10"/>
      <c r="F54" s="12"/>
      <c r="G54" s="40"/>
      <c r="H54" s="10"/>
      <c r="I54" s="12"/>
      <c r="J54" s="12"/>
      <c r="K54" s="40"/>
      <c r="L54" s="10"/>
      <c r="M54" s="10"/>
      <c r="N54" s="10"/>
      <c r="O54" s="10"/>
      <c r="P54" s="10"/>
      <c r="Q54" s="10"/>
      <c r="R54" s="10"/>
      <c r="S54" s="23">
        <v>0.0</v>
      </c>
      <c r="T54" s="25"/>
      <c r="U54" s="27"/>
      <c r="V54" s="29">
        <v>0.0</v>
      </c>
      <c r="W54" s="59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169</v>
      </c>
    </row>
    <row r="2">
      <c r="A2" s="78" t="s">
        <v>170</v>
      </c>
    </row>
    <row r="3">
      <c r="A3" s="78" t="s">
        <v>172</v>
      </c>
    </row>
    <row r="4">
      <c r="A4" s="78" t="s">
        <v>173</v>
      </c>
    </row>
    <row r="5">
      <c r="A5" s="78" t="s">
        <v>85</v>
      </c>
    </row>
    <row r="6">
      <c r="A6" s="78" t="s">
        <v>174</v>
      </c>
    </row>
    <row r="7">
      <c r="A7" s="78" t="s">
        <v>175</v>
      </c>
    </row>
    <row r="8">
      <c r="A8" s="78" t="s">
        <v>176</v>
      </c>
    </row>
    <row r="9">
      <c r="A9" s="78" t="s">
        <v>178</v>
      </c>
    </row>
    <row r="10">
      <c r="A10" s="78" t="s">
        <v>179</v>
      </c>
    </row>
    <row r="11">
      <c r="A11" s="78" t="s">
        <v>180</v>
      </c>
    </row>
    <row r="12">
      <c r="A12" s="78" t="s">
        <v>181</v>
      </c>
    </row>
    <row r="13">
      <c r="A13" s="78" t="s">
        <v>182</v>
      </c>
    </row>
    <row r="14">
      <c r="A14" s="78" t="s">
        <v>183</v>
      </c>
    </row>
    <row r="15">
      <c r="A15" s="78" t="s">
        <v>184</v>
      </c>
    </row>
    <row r="16">
      <c r="A16" s="78" t="s">
        <v>185</v>
      </c>
    </row>
    <row r="17">
      <c r="A17" s="78" t="s">
        <v>186</v>
      </c>
    </row>
    <row r="18">
      <c r="A18" s="78" t="s">
        <v>187</v>
      </c>
    </row>
    <row r="19">
      <c r="A19" s="78" t="s">
        <v>188</v>
      </c>
    </row>
    <row r="20">
      <c r="A20" s="78" t="s">
        <v>189</v>
      </c>
    </row>
    <row r="21">
      <c r="A21" s="78" t="s">
        <v>190</v>
      </c>
    </row>
    <row r="22">
      <c r="A22" s="78" t="s">
        <v>191</v>
      </c>
    </row>
    <row r="23">
      <c r="A23" s="78" t="s">
        <v>193</v>
      </c>
    </row>
    <row r="24">
      <c r="A24" s="78" t="s">
        <v>194</v>
      </c>
    </row>
    <row r="25">
      <c r="A25" s="78" t="s">
        <v>195</v>
      </c>
    </row>
    <row r="26">
      <c r="A26" s="90" t="s">
        <v>196</v>
      </c>
    </row>
    <row r="27">
      <c r="A27" s="78" t="s">
        <v>198</v>
      </c>
    </row>
    <row r="28">
      <c r="A28" s="78" t="s">
        <v>199</v>
      </c>
    </row>
    <row r="29">
      <c r="A29" s="78" t="s">
        <v>200</v>
      </c>
    </row>
    <row r="30">
      <c r="A30" s="78" t="s">
        <v>201</v>
      </c>
    </row>
    <row r="31">
      <c r="A31" s="78" t="s">
        <v>202</v>
      </c>
    </row>
    <row r="32">
      <c r="A32" s="78" t="s">
        <v>203</v>
      </c>
    </row>
    <row r="33">
      <c r="A33" s="78" t="s">
        <v>204</v>
      </c>
    </row>
    <row r="34">
      <c r="A34" s="78" t="s">
        <v>205</v>
      </c>
    </row>
    <row r="35">
      <c r="A35" s="78" t="s">
        <v>206</v>
      </c>
    </row>
    <row r="36">
      <c r="A36" s="78" t="s">
        <v>207</v>
      </c>
    </row>
    <row r="37">
      <c r="A37" s="78" t="s">
        <v>208</v>
      </c>
    </row>
    <row r="38">
      <c r="A38" s="78" t="s">
        <v>209</v>
      </c>
    </row>
    <row r="39">
      <c r="A39" s="78" t="s">
        <v>210</v>
      </c>
    </row>
    <row r="40">
      <c r="A40" s="78" t="s">
        <v>211</v>
      </c>
    </row>
    <row r="41">
      <c r="A41" s="78" t="s">
        <v>212</v>
      </c>
    </row>
    <row r="42">
      <c r="A42" s="78" t="s">
        <v>213</v>
      </c>
    </row>
    <row r="43">
      <c r="A43" s="78" t="s">
        <v>214</v>
      </c>
    </row>
    <row r="44">
      <c r="A44" s="78" t="s">
        <v>215</v>
      </c>
    </row>
    <row r="45">
      <c r="A45" s="78" t="s">
        <v>216</v>
      </c>
    </row>
    <row r="46">
      <c r="A46" s="78" t="s">
        <v>217</v>
      </c>
    </row>
    <row r="47">
      <c r="A47" s="78" t="s">
        <v>219</v>
      </c>
    </row>
    <row r="48">
      <c r="A48" s="78" t="s">
        <v>220</v>
      </c>
    </row>
    <row r="49">
      <c r="A49" s="78" t="s">
        <v>221</v>
      </c>
    </row>
    <row r="50">
      <c r="A50" s="78" t="s">
        <v>222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>
        <v>207.0</v>
      </c>
      <c r="B1" s="97"/>
      <c r="C1" s="96">
        <v>206.0</v>
      </c>
    </row>
    <row r="2">
      <c r="A2" s="97" t="str">
        <f>'入居者管理表'!B8</f>
        <v>佐野　益浩</v>
      </c>
      <c r="B2" s="97"/>
      <c r="C2" s="97" t="str">
        <f>'入居者管理表'!B7</f>
        <v>内山　和司</v>
      </c>
    </row>
    <row r="3">
      <c r="A3" s="86">
        <f>'入居者管理表'!D8</f>
        <v>1</v>
      </c>
      <c r="C3" s="86">
        <f>'入居者管理表'!D7</f>
        <v>1</v>
      </c>
    </row>
    <row r="6">
      <c r="A6" s="96">
        <v>208.0</v>
      </c>
      <c r="B6" s="97"/>
      <c r="C6" s="96">
        <v>205.0</v>
      </c>
    </row>
    <row r="7">
      <c r="A7" s="97" t="str">
        <f>'入居者管理表'!B9</f>
        <v>堀池　智恵子</v>
      </c>
      <c r="B7" s="97"/>
      <c r="C7" s="97" t="str">
        <f>'入居者管理表'!B6</f>
        <v>南　君江</v>
      </c>
    </row>
    <row r="8">
      <c r="A8" s="78">
        <f>'入居者管理表'!D9</f>
        <v>2</v>
      </c>
      <c r="C8" s="86">
        <f>'入居者管理表'!D6</f>
        <v>1</v>
      </c>
    </row>
    <row r="11">
      <c r="A11" s="96">
        <v>209.0</v>
      </c>
      <c r="B11" s="97"/>
      <c r="C11" s="96">
        <v>204.0</v>
      </c>
    </row>
    <row r="12">
      <c r="A12" s="97" t="str">
        <f>'入居者管理表'!B10</f>
        <v>梅原　とし子</v>
      </c>
      <c r="B12" s="97"/>
      <c r="C12" s="97" t="str">
        <f>'入居者管理表'!B5</f>
        <v>瀬川　清江</v>
      </c>
    </row>
    <row r="13">
      <c r="A13" s="86">
        <f>'入居者管理表'!D10</f>
        <v>3</v>
      </c>
      <c r="C13" s="86">
        <f>'入居者管理表'!D5</f>
        <v>4</v>
      </c>
    </row>
    <row r="16">
      <c r="A16" s="96">
        <v>210.0</v>
      </c>
      <c r="B16" s="97"/>
      <c r="C16" s="96">
        <v>203.0</v>
      </c>
    </row>
    <row r="17">
      <c r="A17" s="97" t="str">
        <f>'入居者管理表'!B11</f>
        <v>鈴木　トヨ江</v>
      </c>
      <c r="B17" s="97"/>
      <c r="C17" s="97" t="str">
        <f>'入居者管理表'!B4</f>
        <v>長谷川　明代</v>
      </c>
    </row>
    <row r="18">
      <c r="A18" s="86">
        <f>'入居者管理表'!D11</f>
        <v>4</v>
      </c>
      <c r="C18" s="86">
        <f>'入居者管理表'!D4</f>
        <v>4</v>
      </c>
    </row>
    <row r="21">
      <c r="A21" s="96">
        <v>211.0</v>
      </c>
      <c r="B21" s="97"/>
      <c r="C21" s="96">
        <v>202.0</v>
      </c>
    </row>
    <row r="22">
      <c r="A22" s="97" t="str">
        <f>'入居者管理表'!B12</f>
        <v>飯塚　愛子</v>
      </c>
      <c r="B22" s="97"/>
      <c r="C22" s="97" t="str">
        <f>'入居者管理表'!B101</f>
        <v>仲田　幸子</v>
      </c>
    </row>
    <row r="23">
      <c r="A23" s="86">
        <f>'入居者管理表'!D12</f>
        <v>2</v>
      </c>
      <c r="C23" s="86">
        <f>'入居者管理表'!D101</f>
        <v>1</v>
      </c>
    </row>
    <row r="26">
      <c r="A26" s="96">
        <v>212.0</v>
      </c>
      <c r="B26" s="97"/>
      <c r="C26" s="96">
        <v>201.0</v>
      </c>
    </row>
    <row r="27">
      <c r="A27" s="97" t="str">
        <f>'入居者管理表'!B13</f>
        <v>吉崎　壽江</v>
      </c>
      <c r="B27" s="97"/>
      <c r="C27" s="97" t="str">
        <f>'入居者管理表'!B2</f>
        <v>熊木　勝</v>
      </c>
    </row>
    <row r="28">
      <c r="A28" s="86">
        <f>'入居者管理表'!D13</f>
        <v>5</v>
      </c>
      <c r="C28" s="86">
        <f>'入居者管理表'!D2</f>
        <v>4</v>
      </c>
    </row>
    <row r="29">
      <c r="K29" s="96">
        <v>225.0</v>
      </c>
      <c r="L29" s="96">
        <v>224.0</v>
      </c>
      <c r="M29" s="96">
        <v>223.0</v>
      </c>
    </row>
    <row r="30">
      <c r="K30" s="97" t="str">
        <f>'入居者管理表'!B26</f>
        <v>松浦　睦子</v>
      </c>
      <c r="L30" s="97" t="str">
        <f>'入居者管理表'!B25</f>
        <v>小田　芳江</v>
      </c>
      <c r="M30" s="97" t="str">
        <f>'入居者管理表'!B24</f>
        <v>八倉　昌弘</v>
      </c>
    </row>
    <row r="31">
      <c r="K31" s="86">
        <f>'入居者管理表'!D26</f>
        <v>4</v>
      </c>
      <c r="L31" s="86">
        <f>'入居者管理表'!D25</f>
        <v>3</v>
      </c>
      <c r="M31" s="86">
        <f>'入居者管理表'!D24</f>
        <v>3</v>
      </c>
    </row>
    <row r="36">
      <c r="D36" s="96">
        <v>213.0</v>
      </c>
      <c r="E36" s="96">
        <v>214.0</v>
      </c>
      <c r="F36" s="96">
        <v>215.0</v>
      </c>
      <c r="G36" s="96">
        <v>216.0</v>
      </c>
      <c r="H36" s="96">
        <v>217.0</v>
      </c>
      <c r="I36" s="96">
        <v>218.0</v>
      </c>
      <c r="J36" s="96">
        <v>219.0</v>
      </c>
      <c r="K36" s="96">
        <v>220.0</v>
      </c>
      <c r="L36" s="96">
        <v>221.0</v>
      </c>
      <c r="M36" s="96">
        <v>222.0</v>
      </c>
    </row>
    <row r="37">
      <c r="D37" s="97" t="str">
        <f>'入居者管理表'!B101</f>
        <v>仲田　幸子</v>
      </c>
      <c r="E37" s="97" t="str">
        <f>'入居者管理表'!B15</f>
        <v>大長　まさ</v>
      </c>
      <c r="F37" s="105" t="str">
        <f>'入居者管理表'!B16</f>
        <v>堀井　義介</v>
      </c>
      <c r="G37" s="97" t="str">
        <f>'入居者管理表'!B17</f>
        <v>竹田　朝枝</v>
      </c>
      <c r="H37" s="97" t="str">
        <f>'入居者管理表'!B18</f>
        <v>海老原　暁子</v>
      </c>
      <c r="I37" s="97" t="str">
        <f>'入居者管理表'!B19</f>
        <v>堀井　千沙</v>
      </c>
      <c r="J37" s="97" t="str">
        <f>'入居者管理表'!B20</f>
        <v>山田　はる江</v>
      </c>
      <c r="K37" s="97" t="str">
        <f>'入居者管理表'!B21</f>
        <v>西澤　惠美子</v>
      </c>
      <c r="L37" s="97" t="str">
        <f>'入居者管理表'!B22</f>
        <v>澤田　和男</v>
      </c>
      <c r="M37" s="97" t="str">
        <f>'入居者管理表'!B100</f>
        <v>山本　君江</v>
      </c>
    </row>
    <row r="38">
      <c r="D38" s="86">
        <f>'入居者管理表'!D101</f>
        <v>1</v>
      </c>
      <c r="E38" s="86">
        <f>'入居者管理表'!D15</f>
        <v>2</v>
      </c>
      <c r="F38" s="86">
        <f>'入居者管理表'!D16</f>
        <v>1</v>
      </c>
      <c r="G38" s="86">
        <f>'入居者管理表'!D17</f>
        <v>5</v>
      </c>
      <c r="H38" s="86">
        <f>'入居者管理表'!D18</f>
        <v>2</v>
      </c>
      <c r="I38" s="86">
        <f>'入居者管理表'!D19</f>
        <v>1</v>
      </c>
      <c r="J38" s="86">
        <f>'入居者管理表'!D20</f>
        <v>3</v>
      </c>
      <c r="K38" s="86">
        <f>'入居者管理表'!D21</f>
        <v>2</v>
      </c>
      <c r="L38" s="86">
        <f>'入居者管理表'!D22</f>
        <v>2</v>
      </c>
      <c r="M38" s="86">
        <f>'入居者管理表'!D100</f>
        <v>1</v>
      </c>
    </row>
    <row r="43">
      <c r="A43" s="96">
        <v>305.0</v>
      </c>
      <c r="B43" s="97"/>
      <c r="C43" s="96">
        <v>304.0</v>
      </c>
    </row>
    <row r="44">
      <c r="A44" s="97" t="str">
        <f>'入居者管理表'!B31</f>
        <v>志田美智子</v>
      </c>
      <c r="B44" s="97"/>
      <c r="C44" s="97" t="str">
        <f>'入居者管理表'!B30</f>
        <v>藁科　玉江</v>
      </c>
    </row>
    <row r="45">
      <c r="A45" s="86">
        <f>'入居者管理表'!D31</f>
        <v>2</v>
      </c>
      <c r="C45" s="86">
        <f>'入居者管理表'!D30</f>
        <v>3</v>
      </c>
    </row>
    <row r="48">
      <c r="A48" s="96">
        <v>306.0</v>
      </c>
      <c r="B48" s="97"/>
      <c r="C48" s="96">
        <v>303.0</v>
      </c>
    </row>
    <row r="49">
      <c r="A49" s="97" t="str">
        <f>'入居者管理表'!B32</f>
        <v>小澤　増江</v>
      </c>
      <c r="B49" s="97"/>
      <c r="C49" s="97" t="str">
        <f>'入居者管理表'!B29</f>
        <v>狩野　厚子</v>
      </c>
    </row>
    <row r="50">
      <c r="A50" s="78">
        <f>'入居者管理表'!D32</f>
        <v>2</v>
      </c>
      <c r="C50" s="86">
        <f>'入居者管理表'!D29</f>
        <v>2</v>
      </c>
    </row>
    <row r="53">
      <c r="A53" s="96">
        <v>307.0</v>
      </c>
      <c r="B53" s="97"/>
      <c r="C53" s="96">
        <v>302.0</v>
      </c>
    </row>
    <row r="54">
      <c r="A54" s="97" t="str">
        <f>'入居者管理表'!B33</f>
        <v>漆畑　彌千代</v>
      </c>
      <c r="B54" s="97"/>
      <c r="C54" s="97" t="str">
        <f>'入居者管理表'!B28</f>
        <v>田中　晨子</v>
      </c>
    </row>
    <row r="55">
      <c r="A55" s="86">
        <f>'入居者管理表'!D33</f>
        <v>1</v>
      </c>
      <c r="C55" s="86">
        <f>'入居者管理表'!D28</f>
        <v>3</v>
      </c>
    </row>
    <row r="58">
      <c r="A58" s="96">
        <v>308.0</v>
      </c>
      <c r="B58" s="97"/>
      <c r="C58" s="96">
        <v>301.0</v>
      </c>
    </row>
    <row r="59">
      <c r="A59" s="97" t="str">
        <f>'入居者管理表'!B34</f>
        <v>鈴木　登喜江</v>
      </c>
      <c r="B59" s="97"/>
      <c r="C59" s="97" t="str">
        <f>'入居者管理表'!B27</f>
        <v>一杉　洋子</v>
      </c>
    </row>
    <row r="60">
      <c r="A60" s="86">
        <f>'入居者管理表'!D34</f>
        <v>5</v>
      </c>
      <c r="C60" s="86">
        <f>'入居者管理表'!D27</f>
        <v>2</v>
      </c>
    </row>
    <row r="63">
      <c r="A63" s="96">
        <v>309.0</v>
      </c>
      <c r="B63" s="97"/>
      <c r="C63" s="107"/>
    </row>
    <row r="64">
      <c r="A64" s="97" t="str">
        <f>'入居者管理表'!B35</f>
        <v>稲葉　恵美子</v>
      </c>
      <c r="B64" s="97"/>
      <c r="C64" s="97"/>
    </row>
    <row r="65">
      <c r="A65" s="86">
        <f>'入居者管理表'!D35</f>
        <v>2</v>
      </c>
    </row>
    <row r="68">
      <c r="A68" s="96">
        <v>310.0</v>
      </c>
      <c r="B68" s="97"/>
      <c r="C68" s="107"/>
    </row>
    <row r="69">
      <c r="A69" s="97" t="str">
        <f>'入居者管理表'!B36</f>
        <v>安田　愛子</v>
      </c>
      <c r="B69" s="97"/>
      <c r="C69" s="97"/>
    </row>
    <row r="70">
      <c r="A70" s="86">
        <f>'入居者管理表'!D36</f>
        <v>1</v>
      </c>
    </row>
    <row r="71">
      <c r="J71" s="96">
        <v>325.0</v>
      </c>
      <c r="K71" s="96">
        <v>324.0</v>
      </c>
      <c r="L71" s="96">
        <v>323.0</v>
      </c>
      <c r="M71" s="96">
        <v>322.0</v>
      </c>
    </row>
    <row r="72">
      <c r="A72" s="96">
        <v>311.0</v>
      </c>
      <c r="J72" s="97" t="str">
        <f>#REF!</f>
        <v>#REF!</v>
      </c>
      <c r="K72" s="97" t="str">
        <f>'入居者管理表'!B73</f>
        <v>永井登志惠</v>
      </c>
      <c r="L72" s="97" t="str">
        <f>'入居者管理表'!B72</f>
        <v>大村和弘</v>
      </c>
      <c r="M72" s="97" t="str">
        <f>'入居者管理表'!B48</f>
        <v>青嶋　アツ子</v>
      </c>
    </row>
    <row r="73">
      <c r="A73" s="97" t="str">
        <f>'入居者管理表'!B37</f>
        <v>池田　久雄</v>
      </c>
      <c r="J73" s="86">
        <f>'入居者管理表'!D51</f>
        <v>2</v>
      </c>
      <c r="K73" s="86">
        <f>'入居者管理表'!D50</f>
        <v>2</v>
      </c>
      <c r="L73" s="86">
        <f>'入居者管理表'!D49</f>
        <v>5</v>
      </c>
      <c r="M73" s="86">
        <f>'入居者管理表'!D48</f>
        <v>2</v>
      </c>
    </row>
    <row r="74">
      <c r="A74" s="86">
        <f>'入居者管理表'!D37</f>
        <v>2</v>
      </c>
    </row>
    <row r="78">
      <c r="D78" s="96">
        <v>312.0</v>
      </c>
      <c r="E78" s="96">
        <v>313.0</v>
      </c>
      <c r="F78" s="96">
        <v>314.0</v>
      </c>
      <c r="G78" s="96">
        <v>315.0</v>
      </c>
      <c r="H78" s="96">
        <v>316.0</v>
      </c>
      <c r="I78" s="96">
        <v>317.0</v>
      </c>
      <c r="J78" s="96">
        <v>318.0</v>
      </c>
      <c r="K78" s="96">
        <v>319.0</v>
      </c>
      <c r="L78" s="96">
        <v>320.0</v>
      </c>
      <c r="M78" s="96">
        <v>321.0</v>
      </c>
    </row>
    <row r="79">
      <c r="D79" s="97" t="str">
        <f>'入居者管理表'!B102</f>
        <v>前田　みさ枝</v>
      </c>
      <c r="E79" s="97" t="str">
        <f>'入居者管理表'!B39</f>
        <v>片平　美津江</v>
      </c>
      <c r="F79" s="97" t="str">
        <f>'入居者管理表'!B40</f>
        <v>三浦　一枝</v>
      </c>
      <c r="G79" s="97" t="str">
        <f>'入居者管理表'!B41</f>
        <v>海野　君江</v>
      </c>
      <c r="H79" s="97" t="str">
        <f>'入居者管理表'!B42</f>
        <v>鈴木　ハマ</v>
      </c>
      <c r="I79" s="97" t="str">
        <f>'入居者管理表'!B43</f>
        <v>渡邉　津和代</v>
      </c>
      <c r="J79" s="97" t="str">
        <f>'入居者管理表'!B44</f>
        <v>藤田　絹代</v>
      </c>
      <c r="K79" s="97" t="str">
        <f>'入居者管理表'!B45</f>
        <v>佐伯　十三枝</v>
      </c>
      <c r="L79" s="97" t="str">
        <f>'入居者管理表'!B46</f>
        <v>小倉　馨</v>
      </c>
      <c r="M79" s="97" t="str">
        <f>'入居者管理表'!B47</f>
        <v/>
      </c>
    </row>
    <row r="80">
      <c r="D80" s="86">
        <f>'入居者管理表'!D102</f>
        <v>5</v>
      </c>
      <c r="E80" s="86">
        <f>'入居者管理表'!D39</f>
        <v>4</v>
      </c>
      <c r="F80" s="86">
        <f>'入居者管理表'!D40</f>
        <v>2</v>
      </c>
      <c r="G80" s="86">
        <f>'入居者管理表'!D41</f>
        <v>3</v>
      </c>
      <c r="H80" s="86">
        <f>'入居者管理表'!D42</f>
        <v>2</v>
      </c>
      <c r="I80" s="86">
        <f>'入居者管理表'!D43</f>
        <v>1</v>
      </c>
      <c r="J80" s="86">
        <f>'入居者管理表'!D44</f>
        <v>2</v>
      </c>
      <c r="K80" s="86">
        <f>'入居者管理表'!D45</f>
        <v>4</v>
      </c>
      <c r="L80" s="86">
        <f>'入居者管理表'!D46</f>
        <v>3</v>
      </c>
      <c r="M80" s="86" t="str">
        <f>'入居者管理表'!D47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3" max="5" width="13.75"/>
    <col customWidth="1" min="7" max="7" width="16.5"/>
    <col customWidth="1" min="8" max="8" width="15.38"/>
    <col customWidth="1" min="9" max="9" width="12.5"/>
    <col customWidth="1" min="10" max="10" width="12.0"/>
  </cols>
  <sheetData>
    <row r="1" ht="22.5" customHeight="1">
      <c r="A1" s="66" t="s">
        <v>7</v>
      </c>
      <c r="B1" s="35" t="s">
        <v>16</v>
      </c>
      <c r="C1" s="35" t="s">
        <v>19</v>
      </c>
      <c r="D1" s="35" t="s">
        <v>20</v>
      </c>
      <c r="E1" s="35" t="s">
        <v>21</v>
      </c>
      <c r="F1" s="39" t="s">
        <v>22</v>
      </c>
      <c r="G1" s="39" t="s">
        <v>27</v>
      </c>
      <c r="H1" s="39" t="s">
        <v>264</v>
      </c>
      <c r="I1" s="39" t="s">
        <v>265</v>
      </c>
      <c r="J1" s="39" t="s">
        <v>267</v>
      </c>
    </row>
    <row r="2" ht="22.5" customHeight="1">
      <c r="A2" s="41">
        <v>201.0</v>
      </c>
      <c r="B2" s="50" t="s">
        <v>169</v>
      </c>
      <c r="C2" s="46">
        <v>45566.0</v>
      </c>
      <c r="D2" s="48">
        <v>3.0</v>
      </c>
      <c r="E2" s="50" t="s">
        <v>270</v>
      </c>
      <c r="F2" s="73">
        <v>99.0</v>
      </c>
      <c r="G2" s="88" t="s">
        <v>113</v>
      </c>
      <c r="H2" s="89" t="s">
        <v>271</v>
      </c>
      <c r="I2" s="81" t="s">
        <v>73</v>
      </c>
      <c r="J2" s="109"/>
    </row>
    <row r="3" ht="22.5" customHeight="1">
      <c r="A3" s="41">
        <v>202.0</v>
      </c>
      <c r="B3" s="50" t="s">
        <v>182</v>
      </c>
      <c r="C3" s="46">
        <v>45792.0</v>
      </c>
      <c r="D3" s="48">
        <v>1.0</v>
      </c>
      <c r="E3" s="50" t="s">
        <v>274</v>
      </c>
      <c r="F3" s="73">
        <v>96.0</v>
      </c>
      <c r="G3" s="89" t="s">
        <v>165</v>
      </c>
      <c r="H3" s="89"/>
      <c r="I3" s="81" t="s">
        <v>73</v>
      </c>
      <c r="J3" s="109"/>
    </row>
    <row r="4" ht="22.5" customHeight="1">
      <c r="A4" s="41">
        <v>203.0</v>
      </c>
      <c r="B4" s="50" t="s">
        <v>172</v>
      </c>
      <c r="C4" s="46">
        <v>45351.0</v>
      </c>
      <c r="D4" s="48">
        <v>4.0</v>
      </c>
      <c r="E4" s="50" t="s">
        <v>67</v>
      </c>
      <c r="F4" s="73">
        <v>87.0</v>
      </c>
      <c r="G4" s="88" t="s">
        <v>113</v>
      </c>
      <c r="H4" s="89"/>
      <c r="I4" s="81" t="s">
        <v>73</v>
      </c>
    </row>
    <row r="5" ht="22.5" customHeight="1">
      <c r="A5" s="41">
        <v>204.0</v>
      </c>
      <c r="B5" s="50" t="s">
        <v>173</v>
      </c>
      <c r="C5" s="46">
        <v>43474.0</v>
      </c>
      <c r="D5" s="48">
        <v>4.0</v>
      </c>
      <c r="E5" s="50" t="s">
        <v>277</v>
      </c>
      <c r="F5" s="73">
        <v>83.0</v>
      </c>
      <c r="G5" s="88" t="s">
        <v>113</v>
      </c>
      <c r="H5" s="89" t="s">
        <v>278</v>
      </c>
      <c r="I5" s="81" t="s">
        <v>73</v>
      </c>
    </row>
    <row r="6" ht="22.5" customHeight="1">
      <c r="A6" s="41">
        <v>205.0</v>
      </c>
      <c r="B6" s="50" t="s">
        <v>85</v>
      </c>
      <c r="C6" s="46">
        <v>43770.0</v>
      </c>
      <c r="D6" s="48">
        <v>1.0</v>
      </c>
      <c r="E6" s="50" t="s">
        <v>87</v>
      </c>
      <c r="F6" s="73">
        <v>99.0</v>
      </c>
      <c r="G6" s="88" t="s">
        <v>153</v>
      </c>
      <c r="H6" s="89"/>
      <c r="I6" s="81" t="s">
        <v>73</v>
      </c>
    </row>
    <row r="7" ht="22.5" customHeight="1">
      <c r="A7" s="41">
        <v>206.0</v>
      </c>
      <c r="B7" s="50" t="s">
        <v>174</v>
      </c>
      <c r="C7" s="46">
        <v>43347.0</v>
      </c>
      <c r="D7" s="48">
        <v>3.0</v>
      </c>
      <c r="E7" s="50" t="s">
        <v>162</v>
      </c>
      <c r="F7" s="73">
        <v>88.0</v>
      </c>
      <c r="G7" s="88" t="s">
        <v>275</v>
      </c>
      <c r="H7" s="89"/>
      <c r="I7" s="81" t="s">
        <v>73</v>
      </c>
    </row>
    <row r="8" ht="22.5" customHeight="1">
      <c r="A8" s="41">
        <v>207.0</v>
      </c>
      <c r="B8" s="50" t="s">
        <v>175</v>
      </c>
      <c r="C8" s="46">
        <v>45112.0</v>
      </c>
      <c r="D8" s="48">
        <v>1.0</v>
      </c>
      <c r="E8" s="50" t="s">
        <v>102</v>
      </c>
      <c r="F8" s="73">
        <v>85.0</v>
      </c>
      <c r="G8" s="88" t="s">
        <v>165</v>
      </c>
      <c r="H8" s="89"/>
      <c r="I8" s="81" t="s">
        <v>73</v>
      </c>
    </row>
    <row r="9" ht="22.5" customHeight="1">
      <c r="A9" s="41">
        <v>208.0</v>
      </c>
      <c r="B9" s="50" t="s">
        <v>176</v>
      </c>
      <c r="C9" s="46">
        <v>44918.0</v>
      </c>
      <c r="D9" s="48">
        <v>2.0</v>
      </c>
      <c r="E9" s="50" t="s">
        <v>108</v>
      </c>
      <c r="F9" s="73">
        <v>95.0</v>
      </c>
      <c r="G9" s="88" t="s">
        <v>66</v>
      </c>
      <c r="H9" s="89"/>
      <c r="I9" s="81" t="s">
        <v>73</v>
      </c>
      <c r="J9" s="109"/>
    </row>
    <row r="10" ht="22.5" customHeight="1">
      <c r="A10" s="41">
        <v>209.0</v>
      </c>
      <c r="B10" s="50" t="s">
        <v>178</v>
      </c>
      <c r="C10" s="46">
        <v>45056.0</v>
      </c>
      <c r="D10" s="48">
        <v>3.0</v>
      </c>
      <c r="E10" s="50" t="s">
        <v>117</v>
      </c>
      <c r="F10" s="73">
        <v>91.0</v>
      </c>
      <c r="G10" s="88" t="s">
        <v>113</v>
      </c>
      <c r="H10" s="89"/>
      <c r="I10" s="81" t="s">
        <v>156</v>
      </c>
      <c r="J10" s="109"/>
    </row>
    <row r="11" ht="22.5" customHeight="1">
      <c r="A11" s="41">
        <v>210.0</v>
      </c>
      <c r="B11" s="50" t="s">
        <v>179</v>
      </c>
      <c r="C11" s="46">
        <v>44998.0</v>
      </c>
      <c r="D11" s="48">
        <v>4.0</v>
      </c>
      <c r="E11" s="50" t="s">
        <v>124</v>
      </c>
      <c r="F11" s="73">
        <v>92.0</v>
      </c>
      <c r="G11" s="88" t="s">
        <v>165</v>
      </c>
      <c r="H11" s="89" t="s">
        <v>302</v>
      </c>
      <c r="I11" s="81" t="s">
        <v>73</v>
      </c>
    </row>
    <row r="12" ht="22.5" customHeight="1">
      <c r="A12" s="41">
        <v>211.0</v>
      </c>
      <c r="B12" s="50" t="s">
        <v>180</v>
      </c>
      <c r="C12" s="46">
        <v>45632.0</v>
      </c>
      <c r="D12" s="48">
        <v>2.0</v>
      </c>
      <c r="E12" s="50" t="s">
        <v>126</v>
      </c>
      <c r="F12" s="73">
        <v>84.0</v>
      </c>
      <c r="G12" s="88" t="s">
        <v>260</v>
      </c>
      <c r="H12" s="89"/>
      <c r="I12" s="81" t="s">
        <v>73</v>
      </c>
    </row>
    <row r="13" ht="22.5" customHeight="1">
      <c r="A13" s="41">
        <v>212.0</v>
      </c>
      <c r="B13" s="50" t="s">
        <v>181</v>
      </c>
      <c r="C13" s="46">
        <v>45548.0</v>
      </c>
      <c r="D13" s="48">
        <v>3.0</v>
      </c>
      <c r="E13" s="50" t="s">
        <v>128</v>
      </c>
      <c r="F13" s="73">
        <v>91.0</v>
      </c>
      <c r="G13" s="88" t="s">
        <v>165</v>
      </c>
      <c r="H13" s="89"/>
      <c r="I13" s="81" t="s">
        <v>156</v>
      </c>
    </row>
    <row r="14" ht="22.5" customHeight="1">
      <c r="A14" s="41">
        <v>213.0</v>
      </c>
      <c r="C14" s="46"/>
      <c r="D14" s="74"/>
      <c r="E14" s="108"/>
      <c r="F14" s="87"/>
      <c r="G14" s="89"/>
      <c r="H14" s="89"/>
      <c r="I14" s="83"/>
    </row>
    <row r="15" ht="22.5" customHeight="1">
      <c r="A15" s="41">
        <v>214.0</v>
      </c>
      <c r="B15" s="50" t="s">
        <v>183</v>
      </c>
      <c r="C15" s="46">
        <v>44278.0</v>
      </c>
      <c r="D15" s="48">
        <v>2.0</v>
      </c>
      <c r="E15" s="50" t="s">
        <v>132</v>
      </c>
      <c r="F15" s="87">
        <v>103.0</v>
      </c>
      <c r="G15" s="88" t="s">
        <v>165</v>
      </c>
      <c r="H15" s="89"/>
      <c r="I15" s="81" t="s">
        <v>73</v>
      </c>
    </row>
    <row r="16" ht="22.5" customHeight="1">
      <c r="A16" s="41">
        <v>215.0</v>
      </c>
      <c r="B16" s="50" t="s">
        <v>184</v>
      </c>
      <c r="C16" s="46">
        <v>45751.0</v>
      </c>
      <c r="D16" s="48">
        <v>1.0</v>
      </c>
      <c r="E16" s="50" t="s">
        <v>136</v>
      </c>
      <c r="F16" s="73">
        <v>93.0</v>
      </c>
      <c r="G16" s="88" t="s">
        <v>113</v>
      </c>
      <c r="H16" s="112"/>
      <c r="I16" s="81" t="s">
        <v>73</v>
      </c>
      <c r="J16" s="109"/>
    </row>
    <row r="17" ht="22.5" customHeight="1">
      <c r="A17" s="41">
        <v>216.0</v>
      </c>
      <c r="B17" s="50" t="s">
        <v>185</v>
      </c>
      <c r="C17" s="46">
        <v>44917.0</v>
      </c>
      <c r="D17" s="48">
        <v>5.0</v>
      </c>
      <c r="E17" s="50" t="s">
        <v>138</v>
      </c>
      <c r="F17" s="73">
        <v>92.0</v>
      </c>
      <c r="G17" s="88" t="s">
        <v>165</v>
      </c>
      <c r="H17" s="89" t="s">
        <v>302</v>
      </c>
      <c r="I17" s="81" t="s">
        <v>73</v>
      </c>
      <c r="J17" s="109"/>
    </row>
    <row r="18" ht="22.5" customHeight="1">
      <c r="A18" s="41">
        <v>217.0</v>
      </c>
      <c r="B18" s="50" t="s">
        <v>186</v>
      </c>
      <c r="C18" s="46">
        <v>45827.0</v>
      </c>
      <c r="D18" s="48">
        <v>2.0</v>
      </c>
      <c r="E18" s="50" t="s">
        <v>306</v>
      </c>
      <c r="F18" s="87">
        <v>86.0</v>
      </c>
      <c r="G18" s="88" t="s">
        <v>113</v>
      </c>
      <c r="H18" s="89"/>
      <c r="I18" s="81" t="s">
        <v>73</v>
      </c>
    </row>
    <row r="19" ht="22.5" customHeight="1">
      <c r="A19" s="41">
        <v>218.0</v>
      </c>
      <c r="B19" s="50" t="s">
        <v>187</v>
      </c>
      <c r="C19" s="46">
        <v>45414.0</v>
      </c>
      <c r="D19" s="48">
        <v>4.0</v>
      </c>
      <c r="E19" s="50" t="s">
        <v>307</v>
      </c>
      <c r="F19" s="87">
        <v>80.0</v>
      </c>
      <c r="G19" s="88" t="s">
        <v>165</v>
      </c>
      <c r="H19" s="89"/>
      <c r="I19" s="81" t="s">
        <v>156</v>
      </c>
    </row>
    <row r="20" ht="22.5" customHeight="1">
      <c r="A20" s="41">
        <v>219.0</v>
      </c>
      <c r="B20" s="50" t="s">
        <v>188</v>
      </c>
      <c r="C20" s="46">
        <v>44009.0</v>
      </c>
      <c r="D20" s="48">
        <v>4.0</v>
      </c>
      <c r="E20" s="50" t="s">
        <v>148</v>
      </c>
      <c r="F20" s="73">
        <v>98.0</v>
      </c>
      <c r="G20" s="88" t="s">
        <v>113</v>
      </c>
      <c r="H20" s="89"/>
      <c r="I20" s="81" t="s">
        <v>73</v>
      </c>
    </row>
    <row r="21" ht="22.5" customHeight="1">
      <c r="A21" s="41">
        <v>220.0</v>
      </c>
      <c r="B21" s="50" t="s">
        <v>189</v>
      </c>
      <c r="C21" s="46">
        <v>45720.0</v>
      </c>
      <c r="D21" s="48">
        <v>2.0</v>
      </c>
      <c r="E21" s="50" t="s">
        <v>130</v>
      </c>
      <c r="F21" s="73">
        <v>89.0</v>
      </c>
      <c r="G21" s="88" t="s">
        <v>275</v>
      </c>
      <c r="H21" s="89" t="s">
        <v>271</v>
      </c>
      <c r="I21" s="81" t="s">
        <v>73</v>
      </c>
    </row>
    <row r="22" ht="22.5" customHeight="1">
      <c r="A22" s="41">
        <v>221.0</v>
      </c>
      <c r="C22" s="46"/>
      <c r="D22" s="74"/>
      <c r="E22" s="50" t="s">
        <v>309</v>
      </c>
      <c r="F22" s="87" t="s">
        <v>310</v>
      </c>
      <c r="G22" s="89"/>
      <c r="H22" s="89"/>
      <c r="I22" s="83"/>
    </row>
    <row r="23" ht="22.5" customHeight="1">
      <c r="A23" s="41">
        <v>222.0</v>
      </c>
      <c r="B23" s="50" t="s">
        <v>191</v>
      </c>
      <c r="C23" s="46">
        <v>45373.0</v>
      </c>
      <c r="D23" s="48">
        <v>1.0</v>
      </c>
      <c r="E23" s="50" t="s">
        <v>311</v>
      </c>
      <c r="F23" s="73">
        <v>93.0</v>
      </c>
      <c r="G23" s="88" t="s">
        <v>113</v>
      </c>
      <c r="H23" s="89"/>
      <c r="I23" s="81" t="s">
        <v>73</v>
      </c>
      <c r="J23" s="109"/>
    </row>
    <row r="24" ht="22.5" customHeight="1">
      <c r="A24" s="41">
        <v>223.0</v>
      </c>
      <c r="B24" s="50" t="s">
        <v>193</v>
      </c>
      <c r="C24" s="46">
        <v>44972.0</v>
      </c>
      <c r="D24" s="48">
        <v>3.0</v>
      </c>
      <c r="E24" s="50" t="s">
        <v>158</v>
      </c>
      <c r="F24" s="73">
        <v>87.0</v>
      </c>
      <c r="G24" s="88" t="s">
        <v>113</v>
      </c>
      <c r="H24" s="89"/>
      <c r="I24" s="81" t="s">
        <v>73</v>
      </c>
      <c r="J24" s="109"/>
    </row>
    <row r="25" ht="22.5" customHeight="1">
      <c r="A25" s="41">
        <v>224.0</v>
      </c>
      <c r="B25" s="50" t="s">
        <v>194</v>
      </c>
      <c r="C25" s="46">
        <v>45813.0</v>
      </c>
      <c r="D25" s="48">
        <v>2.0</v>
      </c>
      <c r="E25" s="50" t="s">
        <v>160</v>
      </c>
      <c r="F25" s="73">
        <v>89.0</v>
      </c>
      <c r="G25" s="88" t="s">
        <v>113</v>
      </c>
      <c r="H25" s="89"/>
      <c r="I25" s="81" t="s">
        <v>73</v>
      </c>
    </row>
    <row r="26" ht="22.5" customHeight="1">
      <c r="A26" s="41">
        <v>225.0</v>
      </c>
      <c r="B26" s="50" t="s">
        <v>195</v>
      </c>
      <c r="C26" s="46">
        <v>44580.0</v>
      </c>
      <c r="D26" s="48">
        <v>4.0</v>
      </c>
      <c r="E26" s="50" t="s">
        <v>313</v>
      </c>
      <c r="F26" s="73">
        <v>98.0</v>
      </c>
      <c r="G26" s="88" t="s">
        <v>314</v>
      </c>
      <c r="H26" s="89" t="s">
        <v>278</v>
      </c>
      <c r="I26" s="81" t="s">
        <v>73</v>
      </c>
    </row>
    <row r="27" ht="22.5" customHeight="1">
      <c r="A27" s="113">
        <v>301.0</v>
      </c>
      <c r="B27" s="114" t="s">
        <v>196</v>
      </c>
      <c r="C27" s="115">
        <v>45826.0</v>
      </c>
      <c r="D27" s="116">
        <v>1.0</v>
      </c>
      <c r="E27" s="114" t="s">
        <v>164</v>
      </c>
      <c r="F27" s="117">
        <v>76.0</v>
      </c>
      <c r="G27" s="118" t="s">
        <v>165</v>
      </c>
      <c r="H27" s="89"/>
      <c r="I27" s="81" t="s">
        <v>73</v>
      </c>
    </row>
    <row r="28" ht="22.5" customHeight="1">
      <c r="A28" s="41">
        <v>302.0</v>
      </c>
      <c r="B28" s="50" t="s">
        <v>198</v>
      </c>
      <c r="C28" s="46">
        <v>43002.0</v>
      </c>
      <c r="D28" s="48">
        <v>3.0</v>
      </c>
      <c r="E28" s="50" t="s">
        <v>168</v>
      </c>
      <c r="F28" s="73">
        <v>87.0</v>
      </c>
      <c r="G28" s="88" t="s">
        <v>308</v>
      </c>
      <c r="H28" s="89"/>
      <c r="I28" s="81" t="s">
        <v>73</v>
      </c>
    </row>
    <row r="29" ht="22.5" customHeight="1">
      <c r="A29" s="41">
        <v>303.0</v>
      </c>
      <c r="B29" s="50" t="s">
        <v>316</v>
      </c>
      <c r="C29" s="46">
        <v>45665.0</v>
      </c>
      <c r="D29" s="48">
        <v>3.0</v>
      </c>
      <c r="E29" s="50" t="s">
        <v>317</v>
      </c>
      <c r="F29" s="73">
        <v>89.0</v>
      </c>
      <c r="G29" s="88" t="s">
        <v>113</v>
      </c>
      <c r="H29" s="89"/>
      <c r="I29" s="81" t="s">
        <v>73</v>
      </c>
    </row>
    <row r="30" ht="22.5" customHeight="1">
      <c r="A30" s="41">
        <v>304.0</v>
      </c>
      <c r="B30" s="50" t="s">
        <v>200</v>
      </c>
      <c r="C30" s="46">
        <v>45723.0</v>
      </c>
      <c r="D30" s="48">
        <v>2.0</v>
      </c>
      <c r="E30" s="50" t="s">
        <v>197</v>
      </c>
      <c r="F30" s="73">
        <v>84.0</v>
      </c>
      <c r="G30" s="89" t="s">
        <v>165</v>
      </c>
      <c r="H30" s="89" t="s">
        <v>278</v>
      </c>
      <c r="I30" s="81" t="s">
        <v>73</v>
      </c>
      <c r="J30" s="109"/>
    </row>
    <row r="31" ht="22.5" customHeight="1">
      <c r="A31" s="41">
        <v>305.0</v>
      </c>
      <c r="B31" s="50" t="s">
        <v>201</v>
      </c>
      <c r="C31" s="46">
        <v>45104.0</v>
      </c>
      <c r="D31" s="48">
        <v>2.0</v>
      </c>
      <c r="E31" s="50" t="s">
        <v>218</v>
      </c>
      <c r="F31" s="73">
        <v>92.0</v>
      </c>
      <c r="G31" s="88" t="s">
        <v>66</v>
      </c>
      <c r="H31" s="89"/>
      <c r="I31" s="81" t="s">
        <v>73</v>
      </c>
      <c r="J31" s="109"/>
    </row>
    <row r="32" ht="22.5" customHeight="1">
      <c r="A32" s="41">
        <v>306.0</v>
      </c>
      <c r="B32" s="50" t="s">
        <v>202</v>
      </c>
      <c r="C32" s="46">
        <v>45617.0</v>
      </c>
      <c r="D32" s="48">
        <v>3.0</v>
      </c>
      <c r="E32" s="50" t="s">
        <v>318</v>
      </c>
      <c r="F32" s="73">
        <v>89.0</v>
      </c>
      <c r="G32" s="88" t="s">
        <v>113</v>
      </c>
      <c r="H32" s="89" t="s">
        <v>278</v>
      </c>
      <c r="I32" s="81" t="s">
        <v>73</v>
      </c>
    </row>
    <row r="33" ht="22.5" customHeight="1">
      <c r="A33" s="41">
        <v>307.0</v>
      </c>
      <c r="B33" s="50" t="s">
        <v>203</v>
      </c>
      <c r="C33" s="46">
        <v>44232.0</v>
      </c>
      <c r="D33" s="48">
        <v>1.0</v>
      </c>
      <c r="E33" s="50" t="s">
        <v>232</v>
      </c>
      <c r="F33" s="73">
        <v>86.0</v>
      </c>
      <c r="G33" s="88" t="s">
        <v>113</v>
      </c>
      <c r="H33" s="89"/>
      <c r="I33" s="81" t="s">
        <v>73</v>
      </c>
    </row>
    <row r="34" ht="22.5" customHeight="1">
      <c r="A34" s="41">
        <v>308.0</v>
      </c>
      <c r="B34" s="50" t="s">
        <v>204</v>
      </c>
      <c r="C34" s="46">
        <v>45644.0</v>
      </c>
      <c r="D34" s="48">
        <v>1.0</v>
      </c>
      <c r="E34" s="50" t="s">
        <v>234</v>
      </c>
      <c r="F34" s="73">
        <v>99.0</v>
      </c>
      <c r="G34" s="88" t="s">
        <v>113</v>
      </c>
      <c r="H34" s="89" t="s">
        <v>319</v>
      </c>
      <c r="I34" s="81" t="s">
        <v>73</v>
      </c>
    </row>
    <row r="35" ht="22.5" customHeight="1">
      <c r="A35" s="41">
        <v>309.0</v>
      </c>
      <c r="B35" s="50" t="s">
        <v>205</v>
      </c>
      <c r="C35" s="46">
        <v>45729.0</v>
      </c>
      <c r="D35" s="48">
        <v>2.0</v>
      </c>
      <c r="E35" s="50" t="s">
        <v>236</v>
      </c>
      <c r="F35" s="73">
        <v>91.0</v>
      </c>
      <c r="G35" s="88" t="s">
        <v>275</v>
      </c>
      <c r="H35" s="112"/>
      <c r="I35" s="81" t="s">
        <v>73</v>
      </c>
    </row>
    <row r="36" ht="22.5" customHeight="1">
      <c r="A36" s="41">
        <v>310.0</v>
      </c>
      <c r="B36" s="50" t="s">
        <v>206</v>
      </c>
      <c r="C36" s="46">
        <v>45754.0</v>
      </c>
      <c r="D36" s="48">
        <v>2.0</v>
      </c>
      <c r="E36" s="50" t="s">
        <v>239</v>
      </c>
      <c r="F36" s="73">
        <v>98.0</v>
      </c>
      <c r="G36" s="88" t="s">
        <v>153</v>
      </c>
      <c r="H36" s="89"/>
      <c r="I36" s="81" t="s">
        <v>73</v>
      </c>
    </row>
    <row r="37" ht="22.5" customHeight="1">
      <c r="A37" s="41">
        <v>311.0</v>
      </c>
      <c r="B37" s="50" t="s">
        <v>207</v>
      </c>
      <c r="C37" s="46">
        <v>45338.0</v>
      </c>
      <c r="D37" s="48">
        <v>1.0</v>
      </c>
      <c r="E37" s="50" t="s">
        <v>241</v>
      </c>
      <c r="F37" s="73">
        <v>93.0</v>
      </c>
      <c r="G37" s="88" t="s">
        <v>165</v>
      </c>
      <c r="H37" s="89" t="s">
        <v>271</v>
      </c>
      <c r="I37" s="81" t="s">
        <v>73</v>
      </c>
      <c r="J37" s="109"/>
    </row>
    <row r="38" ht="22.5" customHeight="1">
      <c r="A38" s="41">
        <v>312.0</v>
      </c>
      <c r="B38" s="50" t="s">
        <v>208</v>
      </c>
      <c r="C38" s="46">
        <v>45758.0</v>
      </c>
      <c r="D38" s="48">
        <v>1.0</v>
      </c>
      <c r="E38" s="50" t="s">
        <v>320</v>
      </c>
      <c r="F38" s="73">
        <v>96.0</v>
      </c>
      <c r="G38" s="88" t="s">
        <v>308</v>
      </c>
      <c r="H38" s="112"/>
      <c r="I38" s="81" t="s">
        <v>73</v>
      </c>
      <c r="J38" s="109"/>
    </row>
    <row r="39" ht="22.5" customHeight="1">
      <c r="A39" s="41">
        <v>313.0</v>
      </c>
      <c r="C39" s="46"/>
      <c r="D39" s="74"/>
      <c r="E39" s="50" t="s">
        <v>321</v>
      </c>
      <c r="F39" s="87" t="s">
        <v>322</v>
      </c>
      <c r="G39" s="89"/>
      <c r="H39" s="89"/>
      <c r="I39" s="83"/>
    </row>
    <row r="40" ht="22.5" customHeight="1">
      <c r="A40" s="41">
        <v>314.0</v>
      </c>
      <c r="B40" s="50" t="s">
        <v>210</v>
      </c>
      <c r="C40" s="46">
        <v>45194.0</v>
      </c>
      <c r="D40" s="48">
        <v>2.0</v>
      </c>
      <c r="E40" s="50" t="s">
        <v>248</v>
      </c>
      <c r="F40" s="73">
        <v>93.0</v>
      </c>
      <c r="G40" s="88" t="s">
        <v>66</v>
      </c>
      <c r="H40" s="89"/>
      <c r="I40" s="81" t="s">
        <v>73</v>
      </c>
    </row>
    <row r="41" ht="22.5" customHeight="1">
      <c r="A41" s="41">
        <v>315.0</v>
      </c>
      <c r="B41" s="50" t="s">
        <v>211</v>
      </c>
      <c r="C41" s="46">
        <v>45602.0</v>
      </c>
      <c r="D41" s="48">
        <v>1.0</v>
      </c>
      <c r="E41" s="50" t="s">
        <v>250</v>
      </c>
      <c r="F41" s="73">
        <v>94.0</v>
      </c>
      <c r="G41" s="88" t="s">
        <v>113</v>
      </c>
      <c r="H41" s="89" t="s">
        <v>271</v>
      </c>
      <c r="I41" s="81" t="s">
        <v>73</v>
      </c>
    </row>
    <row r="42" ht="22.5" customHeight="1">
      <c r="A42" s="41">
        <v>316.0</v>
      </c>
      <c r="B42" s="50" t="s">
        <v>212</v>
      </c>
      <c r="C42" s="46">
        <v>44231.0</v>
      </c>
      <c r="D42" s="48">
        <v>2.0</v>
      </c>
      <c r="E42" s="50" t="s">
        <v>252</v>
      </c>
      <c r="F42" s="73">
        <v>96.0</v>
      </c>
      <c r="G42" s="88" t="s">
        <v>113</v>
      </c>
      <c r="H42" s="89"/>
      <c r="I42" s="81" t="s">
        <v>73</v>
      </c>
    </row>
    <row r="43" ht="22.5" customHeight="1">
      <c r="A43" s="41">
        <v>317.0</v>
      </c>
      <c r="B43" s="50" t="s">
        <v>213</v>
      </c>
      <c r="C43" s="46">
        <v>45397.0</v>
      </c>
      <c r="D43" s="48">
        <v>1.0</v>
      </c>
      <c r="E43" s="50" t="s">
        <v>254</v>
      </c>
      <c r="F43" s="73">
        <v>97.0</v>
      </c>
      <c r="G43" s="88" t="s">
        <v>113</v>
      </c>
      <c r="H43" s="89"/>
      <c r="I43" s="81" t="s">
        <v>73</v>
      </c>
    </row>
    <row r="44" ht="22.5" customHeight="1">
      <c r="A44" s="41">
        <v>318.0</v>
      </c>
      <c r="B44" s="50" t="s">
        <v>214</v>
      </c>
      <c r="C44" s="46">
        <v>43296.0</v>
      </c>
      <c r="D44" s="48">
        <v>2.0</v>
      </c>
      <c r="E44" s="50" t="s">
        <v>323</v>
      </c>
      <c r="F44" s="73">
        <v>85.0</v>
      </c>
      <c r="G44" s="88" t="s">
        <v>165</v>
      </c>
      <c r="H44" s="89"/>
      <c r="I44" s="81" t="s">
        <v>73</v>
      </c>
      <c r="J44" s="109"/>
    </row>
    <row r="45" ht="22.5" customHeight="1">
      <c r="A45" s="41">
        <v>319.0</v>
      </c>
      <c r="B45" s="50" t="s">
        <v>215</v>
      </c>
      <c r="C45" s="46">
        <v>44653.0</v>
      </c>
      <c r="D45" s="48">
        <v>5.0</v>
      </c>
      <c r="E45" s="50" t="s">
        <v>258</v>
      </c>
      <c r="F45" s="73">
        <v>87.0</v>
      </c>
      <c r="G45" s="88" t="s">
        <v>275</v>
      </c>
      <c r="H45" s="89" t="s">
        <v>278</v>
      </c>
      <c r="I45" s="81" t="s">
        <v>73</v>
      </c>
      <c r="J45" s="109"/>
    </row>
    <row r="46" ht="22.5" customHeight="1">
      <c r="A46" s="41">
        <v>320.0</v>
      </c>
      <c r="B46" s="50" t="s">
        <v>216</v>
      </c>
      <c r="C46" s="46">
        <v>45547.0</v>
      </c>
      <c r="D46" s="48">
        <v>3.0</v>
      </c>
      <c r="E46" s="50" t="s">
        <v>259</v>
      </c>
      <c r="F46" s="73">
        <v>93.0</v>
      </c>
      <c r="G46" s="88" t="s">
        <v>113</v>
      </c>
      <c r="H46" s="89"/>
      <c r="I46" s="81" t="s">
        <v>73</v>
      </c>
    </row>
    <row r="47" ht="22.5" customHeight="1">
      <c r="A47" s="41">
        <v>321.0</v>
      </c>
      <c r="B47" s="50" t="s">
        <v>324</v>
      </c>
      <c r="C47" s="46">
        <v>45145.0</v>
      </c>
      <c r="D47" s="48">
        <v>1.0</v>
      </c>
      <c r="E47" s="50" t="s">
        <v>325</v>
      </c>
      <c r="F47" s="73">
        <v>89.0</v>
      </c>
      <c r="G47" s="88" t="s">
        <v>66</v>
      </c>
      <c r="H47" s="89"/>
      <c r="I47" s="81" t="s">
        <v>73</v>
      </c>
    </row>
    <row r="48" ht="22.5" customHeight="1">
      <c r="A48" s="41">
        <v>322.0</v>
      </c>
      <c r="B48" s="50" t="s">
        <v>219</v>
      </c>
      <c r="C48" s="46">
        <v>45621.0</v>
      </c>
      <c r="D48" s="48">
        <v>2.0</v>
      </c>
      <c r="E48" s="50" t="s">
        <v>262</v>
      </c>
      <c r="F48" s="73">
        <v>85.0</v>
      </c>
      <c r="G48" s="88" t="s">
        <v>326</v>
      </c>
      <c r="H48" s="89"/>
      <c r="I48" s="81" t="s">
        <v>73</v>
      </c>
    </row>
    <row r="49" ht="22.5" customHeight="1">
      <c r="A49" s="41">
        <v>323.0</v>
      </c>
      <c r="B49" s="50" t="s">
        <v>220</v>
      </c>
      <c r="C49" s="46">
        <v>43436.0</v>
      </c>
      <c r="D49" s="48">
        <v>4.0</v>
      </c>
      <c r="E49" s="50" t="s">
        <v>266</v>
      </c>
      <c r="F49" s="73">
        <v>96.0</v>
      </c>
      <c r="G49" s="88" t="s">
        <v>113</v>
      </c>
      <c r="H49" s="89" t="s">
        <v>278</v>
      </c>
      <c r="I49" s="81" t="s">
        <v>73</v>
      </c>
    </row>
    <row r="50" ht="22.5" customHeight="1">
      <c r="A50" s="41">
        <v>324.0</v>
      </c>
      <c r="B50" s="50" t="s">
        <v>221</v>
      </c>
      <c r="C50" s="46">
        <v>45413.0</v>
      </c>
      <c r="D50" s="48">
        <v>2.0</v>
      </c>
      <c r="E50" s="50" t="s">
        <v>269</v>
      </c>
      <c r="F50" s="73">
        <v>85.0</v>
      </c>
      <c r="G50" s="88" t="s">
        <v>165</v>
      </c>
      <c r="H50" s="89"/>
      <c r="I50" s="81" t="s">
        <v>73</v>
      </c>
    </row>
    <row r="51" ht="22.5" customHeight="1">
      <c r="A51" s="41">
        <v>325.0</v>
      </c>
      <c r="B51" s="50" t="s">
        <v>328</v>
      </c>
      <c r="C51" s="46">
        <v>41325.0</v>
      </c>
      <c r="D51" s="48">
        <v>4.0</v>
      </c>
      <c r="E51" s="50" t="s">
        <v>329</v>
      </c>
      <c r="F51" s="73">
        <v>95.0</v>
      </c>
      <c r="G51" s="88" t="s">
        <v>314</v>
      </c>
      <c r="H51" s="89"/>
      <c r="I51" s="81" t="s">
        <v>73</v>
      </c>
      <c r="J51" s="89"/>
    </row>
    <row r="52" ht="22.5" customHeight="1">
      <c r="A52" s="120" t="s">
        <v>330</v>
      </c>
      <c r="B52" s="121">
        <f>COUNTA(B2:B51)</f>
        <v>47</v>
      </c>
      <c r="C52" s="120" t="s">
        <v>331</v>
      </c>
      <c r="D52" s="121">
        <f>SUM(表[介護度])</f>
        <v>112</v>
      </c>
      <c r="E52" s="120" t="s">
        <v>332</v>
      </c>
      <c r="F52" s="121">
        <f>SUM(表[年齢])</f>
        <v>4273</v>
      </c>
      <c r="G52" s="109"/>
      <c r="H52" s="109"/>
      <c r="I52" s="109"/>
      <c r="J52" s="109"/>
    </row>
    <row r="53">
      <c r="A53" s="97"/>
      <c r="C53" s="122" t="s">
        <v>333</v>
      </c>
      <c r="D53" s="123">
        <f>D52/B52</f>
        <v>2.382978723</v>
      </c>
      <c r="E53" s="122" t="s">
        <v>334</v>
      </c>
      <c r="F53" s="86">
        <f>F52/B52</f>
        <v>90.91489362</v>
      </c>
    </row>
    <row r="54">
      <c r="A54" s="97"/>
    </row>
    <row r="55">
      <c r="A55" s="97"/>
    </row>
    <row r="56">
      <c r="A56" s="97"/>
    </row>
    <row r="57">
      <c r="A57" s="97"/>
    </row>
    <row r="58">
      <c r="A58" s="97"/>
    </row>
    <row r="59">
      <c r="A59" s="97"/>
    </row>
    <row r="60">
      <c r="A60" s="97"/>
    </row>
    <row r="61">
      <c r="A61" s="97"/>
    </row>
    <row r="62">
      <c r="A62" s="97"/>
    </row>
    <row r="63">
      <c r="A63" s="97"/>
    </row>
    <row r="64">
      <c r="A64" s="125">
        <v>301.0</v>
      </c>
      <c r="B64" s="90" t="s">
        <v>342</v>
      </c>
      <c r="C64" s="126">
        <v>45310.0</v>
      </c>
      <c r="D64" s="90">
        <v>1.0</v>
      </c>
      <c r="E64" s="90" t="s">
        <v>343</v>
      </c>
      <c r="F64" s="128">
        <v>92.0</v>
      </c>
      <c r="G64" s="131" t="s">
        <v>345</v>
      </c>
      <c r="H64" s="132"/>
      <c r="I64" s="133">
        <v>45729.0</v>
      </c>
    </row>
    <row r="65">
      <c r="A65" s="107">
        <v>310.0</v>
      </c>
      <c r="B65" s="78" t="s">
        <v>351</v>
      </c>
      <c r="C65" s="134">
        <v>45237.0</v>
      </c>
      <c r="D65" s="78">
        <v>4.0</v>
      </c>
      <c r="E65" s="78" t="s">
        <v>353</v>
      </c>
      <c r="F65" s="135">
        <v>91.0</v>
      </c>
      <c r="G65" s="110" t="s">
        <v>356</v>
      </c>
      <c r="H65" s="132"/>
      <c r="I65" s="133">
        <v>45735.0</v>
      </c>
    </row>
    <row r="66">
      <c r="A66" s="107">
        <v>202.0</v>
      </c>
      <c r="B66" s="78" t="s">
        <v>358</v>
      </c>
      <c r="C66" s="134">
        <v>45419.0</v>
      </c>
      <c r="D66" s="78">
        <v>2.0</v>
      </c>
      <c r="E66" s="78" t="s">
        <v>360</v>
      </c>
      <c r="F66" s="135">
        <v>98.0</v>
      </c>
      <c r="G66" s="110" t="s">
        <v>362</v>
      </c>
      <c r="H66" s="132"/>
      <c r="I66" s="133">
        <v>45734.0</v>
      </c>
    </row>
    <row r="67">
      <c r="A67" s="136">
        <v>215.0</v>
      </c>
      <c r="B67" s="110" t="s">
        <v>364</v>
      </c>
      <c r="C67" s="137"/>
      <c r="D67" s="137"/>
      <c r="E67" s="137"/>
      <c r="F67" s="135"/>
      <c r="G67" s="137"/>
      <c r="H67" s="137"/>
      <c r="I67" s="133">
        <v>45719.0</v>
      </c>
    </row>
    <row r="68">
      <c r="A68" s="136">
        <v>304.0</v>
      </c>
      <c r="B68" s="110" t="s">
        <v>367</v>
      </c>
      <c r="C68" s="138">
        <v>45154.0</v>
      </c>
      <c r="D68" s="78">
        <v>4.0</v>
      </c>
      <c r="E68" s="110" t="s">
        <v>370</v>
      </c>
      <c r="F68" s="136">
        <v>97.0</v>
      </c>
      <c r="G68" s="137"/>
      <c r="H68" s="137"/>
      <c r="I68" s="138">
        <v>45698.0</v>
      </c>
    </row>
    <row r="69">
      <c r="A69" s="107">
        <v>213.0</v>
      </c>
      <c r="B69" s="78" t="s">
        <v>372</v>
      </c>
      <c r="C69" s="139">
        <v>45622.0</v>
      </c>
      <c r="D69" s="78">
        <v>1.0</v>
      </c>
      <c r="E69" s="78" t="s">
        <v>373</v>
      </c>
      <c r="F69" s="136">
        <v>92.0</v>
      </c>
      <c r="G69" s="110" t="s">
        <v>362</v>
      </c>
      <c r="H69" s="132"/>
      <c r="I69" s="138">
        <v>45769.0</v>
      </c>
    </row>
    <row r="70">
      <c r="A70" s="107">
        <v>314.0</v>
      </c>
      <c r="B70" s="78" t="s">
        <v>374</v>
      </c>
      <c r="C70" s="134">
        <v>45440.0</v>
      </c>
      <c r="D70" s="78">
        <v>3.0</v>
      </c>
      <c r="E70" s="78" t="s">
        <v>375</v>
      </c>
      <c r="F70" s="135">
        <v>94.0</v>
      </c>
      <c r="G70" s="110" t="s">
        <v>113</v>
      </c>
      <c r="H70" s="132"/>
      <c r="I70" s="130">
        <v>45792.0</v>
      </c>
    </row>
    <row r="71">
      <c r="A71" s="125">
        <v>301.0</v>
      </c>
      <c r="B71" s="90" t="s">
        <v>377</v>
      </c>
      <c r="C71" s="126">
        <v>45790.0</v>
      </c>
      <c r="D71" s="90">
        <v>2.0</v>
      </c>
      <c r="E71" s="90" t="s">
        <v>378</v>
      </c>
      <c r="F71" s="128">
        <v>92.0</v>
      </c>
      <c r="G71" s="142" t="s">
        <v>113</v>
      </c>
      <c r="H71" s="132"/>
      <c r="I71" s="130">
        <v>45801.0</v>
      </c>
    </row>
    <row r="72">
      <c r="A72" s="107">
        <v>217.0</v>
      </c>
      <c r="B72" s="78" t="s">
        <v>381</v>
      </c>
      <c r="C72" s="134">
        <v>45663.0</v>
      </c>
      <c r="D72" s="78">
        <v>1.0</v>
      </c>
      <c r="E72" s="78" t="s">
        <v>383</v>
      </c>
      <c r="F72" s="136">
        <v>84.0</v>
      </c>
      <c r="G72" s="110" t="s">
        <v>113</v>
      </c>
      <c r="H72" s="132"/>
      <c r="I72" s="130">
        <v>45805.0</v>
      </c>
    </row>
    <row r="73">
      <c r="A73" s="107">
        <v>313.0</v>
      </c>
      <c r="B73" s="78" t="s">
        <v>385</v>
      </c>
      <c r="C73" s="139">
        <v>45077.0</v>
      </c>
      <c r="D73" s="78">
        <v>3.0</v>
      </c>
      <c r="E73" s="78" t="s">
        <v>386</v>
      </c>
      <c r="F73" s="135">
        <v>85.0</v>
      </c>
      <c r="G73" s="110" t="s">
        <v>113</v>
      </c>
      <c r="H73" s="132"/>
      <c r="I73" s="130">
        <v>45822.0</v>
      </c>
    </row>
    <row r="74">
      <c r="A74" s="107">
        <v>221.0</v>
      </c>
      <c r="B74" s="78" t="s">
        <v>387</v>
      </c>
      <c r="C74" s="134">
        <v>43182.0</v>
      </c>
      <c r="D74" s="78">
        <v>5.0</v>
      </c>
      <c r="E74" s="78" t="s">
        <v>388</v>
      </c>
      <c r="F74" s="135">
        <v>95.0</v>
      </c>
      <c r="G74" s="110" t="s">
        <v>113</v>
      </c>
      <c r="H74" s="132" t="s">
        <v>302</v>
      </c>
      <c r="I74" s="130">
        <v>45824.0</v>
      </c>
    </row>
    <row r="75">
      <c r="A75" s="97"/>
    </row>
    <row r="76">
      <c r="A76" s="97"/>
    </row>
    <row r="77">
      <c r="A77" s="97"/>
    </row>
    <row r="78">
      <c r="A78" s="97"/>
    </row>
    <row r="79">
      <c r="A79" s="97"/>
    </row>
    <row r="80">
      <c r="A80" s="97"/>
    </row>
    <row r="81">
      <c r="A81" s="97"/>
    </row>
    <row r="82">
      <c r="A82" s="97"/>
    </row>
    <row r="83">
      <c r="A83" s="97"/>
    </row>
    <row r="84">
      <c r="A84" s="97"/>
    </row>
    <row r="85">
      <c r="A85" s="97"/>
    </row>
    <row r="86">
      <c r="A86" s="97"/>
    </row>
    <row r="87">
      <c r="A87" s="97"/>
    </row>
    <row r="88">
      <c r="A88" s="97"/>
    </row>
    <row r="89">
      <c r="A89" s="97"/>
    </row>
    <row r="90">
      <c r="A90" s="97"/>
    </row>
    <row r="91">
      <c r="A91" s="97"/>
    </row>
    <row r="92">
      <c r="A92" s="97"/>
    </row>
    <row r="93">
      <c r="A93" s="97"/>
    </row>
    <row r="94">
      <c r="A94" s="97"/>
    </row>
    <row r="95">
      <c r="A95" s="97"/>
    </row>
    <row r="96">
      <c r="A96" s="97"/>
    </row>
    <row r="97">
      <c r="A97" s="97"/>
    </row>
    <row r="98">
      <c r="A98" s="97"/>
    </row>
    <row r="99">
      <c r="A99" s="97"/>
    </row>
    <row r="100">
      <c r="A100" s="97"/>
    </row>
    <row r="101">
      <c r="A101" s="97"/>
    </row>
    <row r="102">
      <c r="A102" s="97"/>
    </row>
    <row r="103">
      <c r="A103" s="97"/>
    </row>
    <row r="104">
      <c r="A104" s="97"/>
    </row>
    <row r="105">
      <c r="A105" s="97"/>
    </row>
    <row r="106">
      <c r="A106" s="97"/>
    </row>
    <row r="107">
      <c r="A107" s="97"/>
    </row>
    <row r="108">
      <c r="A108" s="97"/>
    </row>
    <row r="109">
      <c r="A109" s="97"/>
    </row>
    <row r="110">
      <c r="A110" s="97"/>
    </row>
    <row r="111">
      <c r="A111" s="97"/>
    </row>
    <row r="112">
      <c r="A112" s="97"/>
    </row>
    <row r="113">
      <c r="A113" s="97"/>
    </row>
    <row r="114">
      <c r="A114" s="97"/>
    </row>
    <row r="115">
      <c r="A115" s="97"/>
    </row>
    <row r="116">
      <c r="A116" s="97"/>
    </row>
    <row r="117">
      <c r="A117" s="97"/>
    </row>
    <row r="118">
      <c r="A118" s="97"/>
    </row>
    <row r="119">
      <c r="A119" s="97"/>
    </row>
    <row r="120">
      <c r="A120" s="97"/>
    </row>
    <row r="121">
      <c r="A121" s="97"/>
    </row>
    <row r="122">
      <c r="A122" s="97"/>
    </row>
    <row r="123">
      <c r="A123" s="97"/>
    </row>
    <row r="124">
      <c r="A124" s="97"/>
    </row>
    <row r="125">
      <c r="A125" s="97"/>
    </row>
    <row r="126">
      <c r="A126" s="97"/>
    </row>
    <row r="127">
      <c r="A127" s="97"/>
    </row>
    <row r="128">
      <c r="A128" s="97"/>
    </row>
    <row r="129">
      <c r="A129" s="97"/>
    </row>
    <row r="130">
      <c r="A130" s="97"/>
    </row>
    <row r="131">
      <c r="A131" s="97"/>
    </row>
    <row r="132">
      <c r="A132" s="97"/>
    </row>
    <row r="133">
      <c r="A133" s="97"/>
    </row>
    <row r="134">
      <c r="A134" s="97"/>
    </row>
    <row r="135">
      <c r="A135" s="97"/>
    </row>
    <row r="136">
      <c r="A136" s="97"/>
    </row>
    <row r="137">
      <c r="A137" s="97"/>
    </row>
    <row r="138">
      <c r="A138" s="97"/>
    </row>
    <row r="139">
      <c r="A139" s="97"/>
    </row>
    <row r="140">
      <c r="A140" s="97"/>
    </row>
    <row r="141">
      <c r="A141" s="97"/>
    </row>
    <row r="142">
      <c r="A142" s="97"/>
    </row>
    <row r="143">
      <c r="A143" s="97"/>
    </row>
    <row r="144">
      <c r="A144" s="97"/>
    </row>
    <row r="145">
      <c r="A145" s="97"/>
    </row>
    <row r="146">
      <c r="A146" s="97"/>
    </row>
    <row r="147">
      <c r="A147" s="97"/>
    </row>
    <row r="148">
      <c r="A148" s="97"/>
    </row>
    <row r="149">
      <c r="A149" s="97"/>
    </row>
    <row r="150">
      <c r="A150" s="97"/>
    </row>
    <row r="151">
      <c r="A151" s="97"/>
    </row>
    <row r="152">
      <c r="A152" s="97"/>
    </row>
    <row r="153">
      <c r="A153" s="97"/>
    </row>
    <row r="154">
      <c r="A154" s="97"/>
    </row>
    <row r="155">
      <c r="A155" s="97"/>
    </row>
    <row r="156">
      <c r="A156" s="97"/>
    </row>
    <row r="157">
      <c r="A157" s="97"/>
    </row>
    <row r="158">
      <c r="A158" s="97"/>
    </row>
    <row r="159">
      <c r="A159" s="97"/>
    </row>
    <row r="160">
      <c r="A160" s="97"/>
    </row>
    <row r="161">
      <c r="A161" s="97"/>
    </row>
    <row r="162">
      <c r="A162" s="97"/>
    </row>
    <row r="163">
      <c r="A163" s="97"/>
    </row>
    <row r="164">
      <c r="A164" s="97"/>
    </row>
    <row r="165">
      <c r="A165" s="97"/>
    </row>
    <row r="166">
      <c r="A166" s="97"/>
    </row>
    <row r="167">
      <c r="A167" s="97"/>
    </row>
    <row r="168">
      <c r="A168" s="97"/>
    </row>
    <row r="169">
      <c r="A169" s="97"/>
    </row>
    <row r="170">
      <c r="A170" s="97"/>
    </row>
    <row r="171">
      <c r="A171" s="97"/>
    </row>
    <row r="172">
      <c r="A172" s="97"/>
    </row>
    <row r="173">
      <c r="A173" s="97"/>
    </row>
    <row r="174">
      <c r="A174" s="97"/>
    </row>
    <row r="175">
      <c r="A175" s="97"/>
    </row>
    <row r="176">
      <c r="A176" s="97"/>
    </row>
    <row r="177">
      <c r="A177" s="97"/>
    </row>
    <row r="178">
      <c r="A178" s="97"/>
    </row>
    <row r="179">
      <c r="A179" s="97"/>
    </row>
    <row r="180">
      <c r="A180" s="97"/>
    </row>
    <row r="181">
      <c r="A181" s="97"/>
    </row>
    <row r="182">
      <c r="A182" s="97"/>
    </row>
    <row r="183">
      <c r="A183" s="97"/>
    </row>
    <row r="184">
      <c r="A184" s="97"/>
    </row>
    <row r="185">
      <c r="A185" s="97"/>
    </row>
    <row r="186">
      <c r="A186" s="97"/>
    </row>
    <row r="187">
      <c r="A187" s="97"/>
    </row>
    <row r="188">
      <c r="A188" s="97"/>
    </row>
    <row r="189">
      <c r="A189" s="97"/>
    </row>
    <row r="190">
      <c r="A190" s="97"/>
    </row>
    <row r="191">
      <c r="A191" s="97"/>
    </row>
    <row r="192">
      <c r="A192" s="97"/>
    </row>
    <row r="193">
      <c r="A193" s="97"/>
    </row>
    <row r="194">
      <c r="A194" s="97"/>
    </row>
    <row r="195">
      <c r="A195" s="97"/>
    </row>
    <row r="196">
      <c r="A196" s="97"/>
    </row>
    <row r="197">
      <c r="A197" s="97"/>
    </row>
    <row r="198">
      <c r="A198" s="97"/>
    </row>
    <row r="199">
      <c r="A199" s="97"/>
    </row>
    <row r="200">
      <c r="A200" s="97"/>
    </row>
    <row r="201">
      <c r="A201" s="97"/>
    </row>
    <row r="202">
      <c r="A202" s="97"/>
    </row>
    <row r="203">
      <c r="A203" s="97"/>
    </row>
    <row r="204">
      <c r="A204" s="97"/>
    </row>
    <row r="205">
      <c r="A205" s="97"/>
    </row>
    <row r="206">
      <c r="A206" s="97"/>
    </row>
    <row r="207">
      <c r="A207" s="97"/>
    </row>
    <row r="208">
      <c r="A208" s="97"/>
    </row>
    <row r="209">
      <c r="A209" s="97"/>
    </row>
    <row r="210">
      <c r="A210" s="97"/>
    </row>
    <row r="211">
      <c r="A211" s="97"/>
    </row>
    <row r="212">
      <c r="A212" s="97"/>
    </row>
    <row r="213">
      <c r="A213" s="97"/>
    </row>
    <row r="214">
      <c r="A214" s="97"/>
    </row>
    <row r="215">
      <c r="A215" s="97"/>
    </row>
    <row r="216">
      <c r="A216" s="97"/>
    </row>
    <row r="217">
      <c r="A217" s="97"/>
    </row>
    <row r="218">
      <c r="A218" s="97"/>
    </row>
    <row r="219">
      <c r="A219" s="97"/>
    </row>
    <row r="220">
      <c r="A220" s="97"/>
    </row>
    <row r="221">
      <c r="A221" s="97"/>
    </row>
    <row r="222">
      <c r="A222" s="97"/>
    </row>
    <row r="223">
      <c r="A223" s="97"/>
    </row>
    <row r="224">
      <c r="A224" s="97"/>
    </row>
    <row r="225">
      <c r="A225" s="97"/>
    </row>
    <row r="226">
      <c r="A226" s="97"/>
    </row>
    <row r="227">
      <c r="A227" s="97"/>
    </row>
    <row r="228">
      <c r="A228" s="97"/>
    </row>
    <row r="229">
      <c r="A229" s="97"/>
    </row>
    <row r="230">
      <c r="A230" s="97"/>
    </row>
    <row r="231">
      <c r="A231" s="97"/>
    </row>
    <row r="232">
      <c r="A232" s="97"/>
    </row>
    <row r="233">
      <c r="A233" s="97"/>
    </row>
    <row r="234">
      <c r="A234" s="97"/>
    </row>
    <row r="235">
      <c r="A235" s="97"/>
    </row>
    <row r="236">
      <c r="A236" s="97"/>
    </row>
    <row r="237">
      <c r="A237" s="97"/>
    </row>
    <row r="238">
      <c r="A238" s="97"/>
    </row>
    <row r="239">
      <c r="A239" s="97"/>
    </row>
    <row r="240">
      <c r="A240" s="97"/>
    </row>
    <row r="241">
      <c r="A241" s="97"/>
    </row>
    <row r="242">
      <c r="A242" s="97"/>
    </row>
    <row r="243">
      <c r="A243" s="97"/>
    </row>
    <row r="244">
      <c r="A244" s="97"/>
    </row>
    <row r="245">
      <c r="A245" s="97"/>
    </row>
    <row r="246">
      <c r="A246" s="97"/>
    </row>
    <row r="247">
      <c r="A247" s="97"/>
    </row>
    <row r="248">
      <c r="A248" s="97"/>
    </row>
    <row r="249">
      <c r="A249" s="97"/>
    </row>
    <row r="250">
      <c r="A250" s="97"/>
    </row>
    <row r="251">
      <c r="A251" s="97"/>
    </row>
    <row r="252">
      <c r="A252" s="97"/>
    </row>
    <row r="253">
      <c r="A253" s="97"/>
    </row>
    <row r="254">
      <c r="A254" s="97"/>
    </row>
    <row r="255">
      <c r="A255" s="97"/>
    </row>
    <row r="256">
      <c r="A256" s="97"/>
    </row>
    <row r="257">
      <c r="A257" s="97"/>
    </row>
    <row r="258">
      <c r="A258" s="97"/>
    </row>
    <row r="259">
      <c r="A259" s="97"/>
    </row>
    <row r="260">
      <c r="A260" s="97"/>
    </row>
    <row r="261">
      <c r="A261" s="97"/>
    </row>
    <row r="262">
      <c r="A262" s="97"/>
    </row>
    <row r="263">
      <c r="A263" s="97"/>
    </row>
    <row r="264">
      <c r="A264" s="97"/>
    </row>
    <row r="265">
      <c r="A265" s="97"/>
    </row>
    <row r="266">
      <c r="A266" s="97"/>
    </row>
    <row r="267">
      <c r="A267" s="97"/>
    </row>
    <row r="268">
      <c r="A268" s="97"/>
    </row>
    <row r="269">
      <c r="A269" s="97"/>
    </row>
    <row r="270">
      <c r="A270" s="97"/>
    </row>
    <row r="271">
      <c r="A271" s="97"/>
    </row>
    <row r="272">
      <c r="A272" s="97"/>
    </row>
    <row r="273">
      <c r="A273" s="97"/>
    </row>
    <row r="274">
      <c r="A274" s="97"/>
    </row>
    <row r="275">
      <c r="A275" s="97"/>
    </row>
    <row r="276">
      <c r="A276" s="97"/>
    </row>
    <row r="277">
      <c r="A277" s="97"/>
    </row>
    <row r="278">
      <c r="A278" s="97"/>
    </row>
    <row r="279">
      <c r="A279" s="97"/>
    </row>
    <row r="280">
      <c r="A280" s="97"/>
    </row>
    <row r="281">
      <c r="A281" s="97"/>
    </row>
    <row r="282">
      <c r="A282" s="97"/>
    </row>
    <row r="283">
      <c r="A283" s="97"/>
    </row>
    <row r="284">
      <c r="A284" s="97"/>
    </row>
    <row r="285">
      <c r="A285" s="97"/>
    </row>
    <row r="286">
      <c r="A286" s="97"/>
    </row>
    <row r="287">
      <c r="A287" s="97"/>
    </row>
    <row r="288">
      <c r="A288" s="97"/>
    </row>
    <row r="289">
      <c r="A289" s="97"/>
    </row>
    <row r="290">
      <c r="A290" s="97"/>
    </row>
    <row r="291">
      <c r="A291" s="97"/>
    </row>
    <row r="292">
      <c r="A292" s="97"/>
    </row>
    <row r="293">
      <c r="A293" s="97"/>
    </row>
    <row r="294">
      <c r="A294" s="97"/>
    </row>
    <row r="295">
      <c r="A295" s="97"/>
    </row>
    <row r="296">
      <c r="A296" s="97"/>
    </row>
    <row r="297">
      <c r="A297" s="97"/>
    </row>
    <row r="298">
      <c r="A298" s="97"/>
    </row>
    <row r="299">
      <c r="A299" s="97"/>
    </row>
    <row r="300">
      <c r="A300" s="97"/>
    </row>
    <row r="301">
      <c r="A301" s="97"/>
    </row>
    <row r="302">
      <c r="A302" s="97"/>
    </row>
    <row r="303">
      <c r="A303" s="97"/>
    </row>
    <row r="304">
      <c r="A304" s="97"/>
    </row>
    <row r="305">
      <c r="A305" s="97"/>
    </row>
    <row r="306">
      <c r="A306" s="97"/>
    </row>
    <row r="307">
      <c r="A307" s="97"/>
    </row>
    <row r="308">
      <c r="A308" s="97"/>
    </row>
    <row r="309">
      <c r="A309" s="97"/>
    </row>
    <row r="310">
      <c r="A310" s="97"/>
    </row>
    <row r="311">
      <c r="A311" s="97"/>
    </row>
    <row r="312">
      <c r="A312" s="97"/>
    </row>
    <row r="313">
      <c r="A313" s="97"/>
    </row>
    <row r="314">
      <c r="A314" s="97"/>
    </row>
    <row r="315">
      <c r="A315" s="97"/>
    </row>
    <row r="316">
      <c r="A316" s="97"/>
    </row>
    <row r="317">
      <c r="A317" s="97"/>
    </row>
    <row r="318">
      <c r="A318" s="97"/>
    </row>
    <row r="319">
      <c r="A319" s="97"/>
    </row>
    <row r="320">
      <c r="A320" s="97"/>
    </row>
    <row r="321">
      <c r="A321" s="97"/>
    </row>
    <row r="322">
      <c r="A322" s="97"/>
    </row>
    <row r="323">
      <c r="A323" s="97"/>
    </row>
    <row r="324">
      <c r="A324" s="97"/>
    </row>
    <row r="325">
      <c r="A325" s="97"/>
    </row>
    <row r="326">
      <c r="A326" s="97"/>
    </row>
    <row r="327">
      <c r="A327" s="97"/>
    </row>
    <row r="328">
      <c r="A328" s="97"/>
    </row>
    <row r="329">
      <c r="A329" s="97"/>
    </row>
    <row r="330">
      <c r="A330" s="97"/>
    </row>
    <row r="331">
      <c r="A331" s="97"/>
    </row>
    <row r="332">
      <c r="A332" s="97"/>
    </row>
    <row r="333">
      <c r="A333" s="97"/>
    </row>
    <row r="334">
      <c r="A334" s="97"/>
    </row>
    <row r="335">
      <c r="A335" s="97"/>
    </row>
    <row r="336">
      <c r="A336" s="97"/>
    </row>
    <row r="337">
      <c r="A337" s="97"/>
    </row>
    <row r="338">
      <c r="A338" s="97"/>
    </row>
    <row r="339">
      <c r="A339" s="97"/>
    </row>
    <row r="340">
      <c r="A340" s="97"/>
    </row>
    <row r="341">
      <c r="A341" s="97"/>
    </row>
    <row r="342">
      <c r="A342" s="97"/>
    </row>
    <row r="343">
      <c r="A343" s="97"/>
    </row>
    <row r="344">
      <c r="A344" s="97"/>
    </row>
    <row r="345">
      <c r="A345" s="97"/>
    </row>
    <row r="346">
      <c r="A346" s="97"/>
    </row>
    <row r="347">
      <c r="A347" s="97"/>
    </row>
    <row r="348">
      <c r="A348" s="97"/>
    </row>
    <row r="349">
      <c r="A349" s="97"/>
    </row>
    <row r="350">
      <c r="A350" s="97"/>
    </row>
    <row r="351">
      <c r="A351" s="97"/>
    </row>
    <row r="352">
      <c r="A352" s="97"/>
    </row>
    <row r="353">
      <c r="A353" s="97"/>
    </row>
    <row r="354">
      <c r="A354" s="97"/>
    </row>
    <row r="355">
      <c r="A355" s="97"/>
    </row>
    <row r="356">
      <c r="A356" s="97"/>
    </row>
    <row r="357">
      <c r="A357" s="97"/>
    </row>
    <row r="358">
      <c r="A358" s="97"/>
    </row>
    <row r="359">
      <c r="A359" s="97"/>
    </row>
    <row r="360">
      <c r="A360" s="97"/>
    </row>
    <row r="361">
      <c r="A361" s="97"/>
    </row>
    <row r="362">
      <c r="A362" s="97"/>
    </row>
    <row r="363">
      <c r="A363" s="97"/>
    </row>
    <row r="364">
      <c r="A364" s="97"/>
    </row>
    <row r="365">
      <c r="A365" s="97"/>
    </row>
    <row r="366">
      <c r="A366" s="97"/>
    </row>
    <row r="367">
      <c r="A367" s="97"/>
    </row>
    <row r="368">
      <c r="A368" s="97"/>
    </row>
    <row r="369">
      <c r="A369" s="97"/>
    </row>
    <row r="370">
      <c r="A370" s="97"/>
    </row>
    <row r="371">
      <c r="A371" s="97"/>
    </row>
    <row r="372">
      <c r="A372" s="97"/>
    </row>
    <row r="373">
      <c r="A373" s="97"/>
    </row>
    <row r="374">
      <c r="A374" s="97"/>
    </row>
    <row r="375">
      <c r="A375" s="97"/>
    </row>
    <row r="376">
      <c r="A376" s="97"/>
    </row>
    <row r="377">
      <c r="A377" s="97"/>
    </row>
    <row r="378">
      <c r="A378" s="97"/>
    </row>
    <row r="379">
      <c r="A379" s="97"/>
    </row>
    <row r="380">
      <c r="A380" s="97"/>
    </row>
    <row r="381">
      <c r="A381" s="97"/>
    </row>
    <row r="382">
      <c r="A382" s="97"/>
    </row>
    <row r="383">
      <c r="A383" s="97"/>
    </row>
    <row r="384">
      <c r="A384" s="97"/>
    </row>
    <row r="385">
      <c r="A385" s="97"/>
    </row>
    <row r="386">
      <c r="A386" s="97"/>
    </row>
    <row r="387">
      <c r="A387" s="97"/>
    </row>
    <row r="388">
      <c r="A388" s="97"/>
    </row>
    <row r="389">
      <c r="A389" s="97"/>
    </row>
    <row r="390">
      <c r="A390" s="97"/>
    </row>
    <row r="391">
      <c r="A391" s="97"/>
    </row>
    <row r="392">
      <c r="A392" s="97"/>
    </row>
    <row r="393">
      <c r="A393" s="97"/>
    </row>
    <row r="394">
      <c r="A394" s="97"/>
    </row>
    <row r="395">
      <c r="A395" s="97"/>
    </row>
    <row r="396">
      <c r="A396" s="97"/>
    </row>
    <row r="397">
      <c r="A397" s="97"/>
    </row>
    <row r="398">
      <c r="A398" s="97"/>
    </row>
    <row r="399">
      <c r="A399" s="97"/>
    </row>
    <row r="400">
      <c r="A400" s="97"/>
    </row>
    <row r="401">
      <c r="A401" s="97"/>
    </row>
    <row r="402">
      <c r="A402" s="97"/>
    </row>
    <row r="403">
      <c r="A403" s="97"/>
    </row>
    <row r="404">
      <c r="A404" s="97"/>
    </row>
    <row r="405">
      <c r="A405" s="97"/>
    </row>
    <row r="406">
      <c r="A406" s="97"/>
    </row>
    <row r="407">
      <c r="A407" s="97"/>
    </row>
    <row r="408">
      <c r="A408" s="97"/>
    </row>
    <row r="409">
      <c r="A409" s="97"/>
    </row>
    <row r="410">
      <c r="A410" s="97"/>
    </row>
    <row r="411">
      <c r="A411" s="97"/>
    </row>
    <row r="412">
      <c r="A412" s="97"/>
    </row>
    <row r="413">
      <c r="A413" s="97"/>
    </row>
    <row r="414">
      <c r="A414" s="97"/>
    </row>
    <row r="415">
      <c r="A415" s="97"/>
    </row>
    <row r="416">
      <c r="A416" s="97"/>
    </row>
    <row r="417">
      <c r="A417" s="97"/>
    </row>
    <row r="418">
      <c r="A418" s="97"/>
    </row>
    <row r="419">
      <c r="A419" s="97"/>
    </row>
    <row r="420">
      <c r="A420" s="97"/>
    </row>
    <row r="421">
      <c r="A421" s="97"/>
    </row>
    <row r="422">
      <c r="A422" s="97"/>
    </row>
    <row r="423">
      <c r="A423" s="97"/>
    </row>
    <row r="424">
      <c r="A424" s="97"/>
    </row>
    <row r="425">
      <c r="A425" s="97"/>
    </row>
    <row r="426">
      <c r="A426" s="97"/>
    </row>
    <row r="427">
      <c r="A427" s="97"/>
    </row>
    <row r="428">
      <c r="A428" s="97"/>
    </row>
    <row r="429">
      <c r="A429" s="97"/>
    </row>
    <row r="430">
      <c r="A430" s="97"/>
    </row>
    <row r="431">
      <c r="A431" s="97"/>
    </row>
    <row r="432">
      <c r="A432" s="97"/>
    </row>
    <row r="433">
      <c r="A433" s="97"/>
    </row>
    <row r="434">
      <c r="A434" s="97"/>
    </row>
    <row r="435">
      <c r="A435" s="97"/>
    </row>
    <row r="436">
      <c r="A436" s="97"/>
    </row>
    <row r="437">
      <c r="A437" s="97"/>
    </row>
    <row r="438">
      <c r="A438" s="97"/>
    </row>
    <row r="439">
      <c r="A439" s="97"/>
    </row>
    <row r="440">
      <c r="A440" s="97"/>
    </row>
    <row r="441">
      <c r="A441" s="97"/>
    </row>
    <row r="442">
      <c r="A442" s="97"/>
    </row>
    <row r="443">
      <c r="A443" s="97"/>
    </row>
    <row r="444">
      <c r="A444" s="97"/>
    </row>
    <row r="445">
      <c r="A445" s="97"/>
    </row>
    <row r="446">
      <c r="A446" s="97"/>
    </row>
    <row r="447">
      <c r="A447" s="97"/>
    </row>
    <row r="448">
      <c r="A448" s="97"/>
    </row>
    <row r="449">
      <c r="A449" s="97"/>
    </row>
    <row r="450">
      <c r="A450" s="97"/>
    </row>
    <row r="451">
      <c r="A451" s="97"/>
    </row>
    <row r="452">
      <c r="A452" s="97"/>
    </row>
    <row r="453">
      <c r="A453" s="97"/>
    </row>
    <row r="454">
      <c r="A454" s="97"/>
    </row>
    <row r="455">
      <c r="A455" s="97"/>
    </row>
    <row r="456">
      <c r="A456" s="97"/>
    </row>
    <row r="457">
      <c r="A457" s="97"/>
    </row>
    <row r="458">
      <c r="A458" s="97"/>
    </row>
    <row r="459">
      <c r="A459" s="97"/>
    </row>
    <row r="460">
      <c r="A460" s="97"/>
    </row>
    <row r="461">
      <c r="A461" s="97"/>
    </row>
    <row r="462">
      <c r="A462" s="97"/>
    </row>
    <row r="463">
      <c r="A463" s="97"/>
    </row>
    <row r="464">
      <c r="A464" s="97"/>
    </row>
    <row r="465">
      <c r="A465" s="97"/>
    </row>
    <row r="466">
      <c r="A466" s="97"/>
    </row>
    <row r="467">
      <c r="A467" s="97"/>
    </row>
    <row r="468">
      <c r="A468" s="97"/>
    </row>
    <row r="469">
      <c r="A469" s="97"/>
    </row>
    <row r="470">
      <c r="A470" s="97"/>
    </row>
    <row r="471">
      <c r="A471" s="97"/>
    </row>
    <row r="472">
      <c r="A472" s="97"/>
    </row>
    <row r="473">
      <c r="A473" s="97"/>
    </row>
    <row r="474">
      <c r="A474" s="97"/>
    </row>
    <row r="475">
      <c r="A475" s="97"/>
    </row>
    <row r="476">
      <c r="A476" s="97"/>
    </row>
    <row r="477">
      <c r="A477" s="97"/>
    </row>
    <row r="478">
      <c r="A478" s="97"/>
    </row>
    <row r="479">
      <c r="A479" s="97"/>
    </row>
    <row r="480">
      <c r="A480" s="97"/>
    </row>
    <row r="481">
      <c r="A481" s="97"/>
    </row>
    <row r="482">
      <c r="A482" s="97"/>
    </row>
    <row r="483">
      <c r="A483" s="97"/>
    </row>
    <row r="484">
      <c r="A484" s="97"/>
    </row>
    <row r="485">
      <c r="A485" s="97"/>
    </row>
    <row r="486">
      <c r="A486" s="97"/>
    </row>
    <row r="487">
      <c r="A487" s="97"/>
    </row>
    <row r="488">
      <c r="A488" s="97"/>
    </row>
    <row r="489">
      <c r="A489" s="97"/>
    </row>
    <row r="490">
      <c r="A490" s="97"/>
    </row>
    <row r="491">
      <c r="A491" s="97"/>
    </row>
    <row r="492">
      <c r="A492" s="97"/>
    </row>
    <row r="493">
      <c r="A493" s="97"/>
    </row>
    <row r="494">
      <c r="A494" s="97"/>
    </row>
    <row r="495">
      <c r="A495" s="97"/>
    </row>
    <row r="496">
      <c r="A496" s="97"/>
    </row>
    <row r="497">
      <c r="A497" s="97"/>
    </row>
    <row r="498">
      <c r="A498" s="97"/>
    </row>
    <row r="499">
      <c r="A499" s="97"/>
    </row>
    <row r="500">
      <c r="A500" s="97"/>
    </row>
    <row r="501">
      <c r="A501" s="97"/>
    </row>
    <row r="502">
      <c r="A502" s="97"/>
    </row>
    <row r="503">
      <c r="A503" s="97"/>
    </row>
    <row r="504">
      <c r="A504" s="97"/>
    </row>
    <row r="505">
      <c r="A505" s="97"/>
    </row>
    <row r="506">
      <c r="A506" s="97"/>
    </row>
    <row r="507">
      <c r="A507" s="97"/>
    </row>
    <row r="508">
      <c r="A508" s="97"/>
    </row>
    <row r="509">
      <c r="A509" s="97"/>
    </row>
    <row r="510">
      <c r="A510" s="97"/>
    </row>
    <row r="511">
      <c r="A511" s="97"/>
    </row>
    <row r="512">
      <c r="A512" s="97"/>
    </row>
    <row r="513">
      <c r="A513" s="97"/>
    </row>
    <row r="514">
      <c r="A514" s="97"/>
    </row>
    <row r="515">
      <c r="A515" s="97"/>
    </row>
    <row r="516">
      <c r="A516" s="97"/>
    </row>
    <row r="517">
      <c r="A517" s="97"/>
    </row>
    <row r="518">
      <c r="A518" s="97"/>
    </row>
    <row r="519">
      <c r="A519" s="97"/>
    </row>
    <row r="520">
      <c r="A520" s="97"/>
    </row>
    <row r="521">
      <c r="A521" s="97"/>
    </row>
    <row r="522">
      <c r="A522" s="97"/>
    </row>
    <row r="523">
      <c r="A523" s="97"/>
    </row>
    <row r="524">
      <c r="A524" s="97"/>
    </row>
    <row r="525">
      <c r="A525" s="97"/>
    </row>
    <row r="526">
      <c r="A526" s="97"/>
    </row>
    <row r="527">
      <c r="A527" s="97"/>
    </row>
    <row r="528">
      <c r="A528" s="97"/>
    </row>
    <row r="529">
      <c r="A529" s="97"/>
    </row>
    <row r="530">
      <c r="A530" s="97"/>
    </row>
    <row r="531">
      <c r="A531" s="97"/>
    </row>
    <row r="532">
      <c r="A532" s="97"/>
    </row>
    <row r="533">
      <c r="A533" s="97"/>
    </row>
    <row r="534">
      <c r="A534" s="97"/>
    </row>
    <row r="535">
      <c r="A535" s="97"/>
    </row>
    <row r="536">
      <c r="A536" s="97"/>
    </row>
    <row r="537">
      <c r="A537" s="97"/>
    </row>
    <row r="538">
      <c r="A538" s="97"/>
    </row>
    <row r="539">
      <c r="A539" s="97"/>
    </row>
    <row r="540">
      <c r="A540" s="97"/>
    </row>
    <row r="541">
      <c r="A541" s="97"/>
    </row>
    <row r="542">
      <c r="A542" s="97"/>
    </row>
    <row r="543">
      <c r="A543" s="97"/>
    </row>
    <row r="544">
      <c r="A544" s="97"/>
    </row>
    <row r="545">
      <c r="A545" s="97"/>
    </row>
    <row r="546">
      <c r="A546" s="97"/>
    </row>
    <row r="547">
      <c r="A547" s="97"/>
    </row>
    <row r="548">
      <c r="A548" s="97"/>
    </row>
    <row r="549">
      <c r="A549" s="97"/>
    </row>
    <row r="550">
      <c r="A550" s="97"/>
    </row>
    <row r="551">
      <c r="A551" s="97"/>
    </row>
    <row r="552">
      <c r="A552" s="97"/>
    </row>
    <row r="553">
      <c r="A553" s="97"/>
    </row>
    <row r="554">
      <c r="A554" s="97"/>
    </row>
    <row r="555">
      <c r="A555" s="97"/>
    </row>
    <row r="556">
      <c r="A556" s="97"/>
    </row>
    <row r="557">
      <c r="A557" s="97"/>
    </row>
    <row r="558">
      <c r="A558" s="97"/>
    </row>
    <row r="559">
      <c r="A559" s="97"/>
    </row>
    <row r="560">
      <c r="A560" s="97"/>
    </row>
    <row r="561">
      <c r="A561" s="97"/>
    </row>
    <row r="562">
      <c r="A562" s="97"/>
    </row>
    <row r="563">
      <c r="A563" s="97"/>
    </row>
    <row r="564">
      <c r="A564" s="97"/>
    </row>
    <row r="565">
      <c r="A565" s="97"/>
    </row>
    <row r="566">
      <c r="A566" s="97"/>
    </row>
    <row r="567">
      <c r="A567" s="97"/>
    </row>
    <row r="568">
      <c r="A568" s="97"/>
    </row>
    <row r="569">
      <c r="A569" s="97"/>
    </row>
    <row r="570">
      <c r="A570" s="97"/>
    </row>
    <row r="571">
      <c r="A571" s="97"/>
    </row>
    <row r="572">
      <c r="A572" s="97"/>
    </row>
    <row r="573">
      <c r="A573" s="97"/>
    </row>
    <row r="574">
      <c r="A574" s="97"/>
    </row>
    <row r="575">
      <c r="A575" s="97"/>
    </row>
    <row r="576">
      <c r="A576" s="97"/>
    </row>
    <row r="577">
      <c r="A577" s="97"/>
    </row>
    <row r="578">
      <c r="A578" s="97"/>
    </row>
    <row r="579">
      <c r="A579" s="97"/>
    </row>
    <row r="580">
      <c r="A580" s="97"/>
    </row>
    <row r="581">
      <c r="A581" s="97"/>
    </row>
    <row r="582">
      <c r="A582" s="97"/>
    </row>
    <row r="583">
      <c r="A583" s="97"/>
    </row>
    <row r="584">
      <c r="A584" s="97"/>
    </row>
    <row r="585">
      <c r="A585" s="97"/>
    </row>
    <row r="586">
      <c r="A586" s="97"/>
    </row>
    <row r="587">
      <c r="A587" s="97"/>
    </row>
    <row r="588">
      <c r="A588" s="97"/>
    </row>
    <row r="589">
      <c r="A589" s="97"/>
    </row>
    <row r="590">
      <c r="A590" s="97"/>
    </row>
    <row r="591">
      <c r="A591" s="97"/>
    </row>
    <row r="592">
      <c r="A592" s="97"/>
    </row>
    <row r="593">
      <c r="A593" s="97"/>
    </row>
    <row r="594">
      <c r="A594" s="97"/>
    </row>
    <row r="595">
      <c r="A595" s="97"/>
    </row>
    <row r="596">
      <c r="A596" s="97"/>
    </row>
    <row r="597">
      <c r="A597" s="97"/>
    </row>
    <row r="598">
      <c r="A598" s="97"/>
    </row>
    <row r="599">
      <c r="A599" s="97"/>
    </row>
    <row r="600">
      <c r="A600" s="97"/>
    </row>
    <row r="601">
      <c r="A601" s="97"/>
    </row>
    <row r="602">
      <c r="A602" s="97"/>
    </row>
    <row r="603">
      <c r="A603" s="97"/>
    </row>
    <row r="604">
      <c r="A604" s="97"/>
    </row>
    <row r="605">
      <c r="A605" s="97"/>
    </row>
    <row r="606">
      <c r="A606" s="97"/>
    </row>
    <row r="607">
      <c r="A607" s="97"/>
    </row>
    <row r="608">
      <c r="A608" s="97"/>
    </row>
    <row r="609">
      <c r="A609" s="97"/>
    </row>
    <row r="610">
      <c r="A610" s="97"/>
    </row>
    <row r="611">
      <c r="A611" s="97"/>
    </row>
    <row r="612">
      <c r="A612" s="97"/>
    </row>
    <row r="613">
      <c r="A613" s="97"/>
    </row>
    <row r="614">
      <c r="A614" s="97"/>
    </row>
    <row r="615">
      <c r="A615" s="97"/>
    </row>
    <row r="616">
      <c r="A616" s="97"/>
    </row>
    <row r="617">
      <c r="A617" s="97"/>
    </row>
    <row r="618">
      <c r="A618" s="97"/>
    </row>
    <row r="619">
      <c r="A619" s="97"/>
    </row>
    <row r="620">
      <c r="A620" s="97"/>
    </row>
    <row r="621">
      <c r="A621" s="97"/>
    </row>
    <row r="622">
      <c r="A622" s="97"/>
    </row>
    <row r="623">
      <c r="A623" s="97"/>
    </row>
    <row r="624">
      <c r="A624" s="97"/>
    </row>
    <row r="625">
      <c r="A625" s="97"/>
    </row>
    <row r="626">
      <c r="A626" s="97"/>
    </row>
    <row r="627">
      <c r="A627" s="97"/>
    </row>
    <row r="628">
      <c r="A628" s="97"/>
    </row>
    <row r="629">
      <c r="A629" s="97"/>
    </row>
    <row r="630">
      <c r="A630" s="97"/>
    </row>
    <row r="631">
      <c r="A631" s="97"/>
    </row>
    <row r="632">
      <c r="A632" s="97"/>
    </row>
    <row r="633">
      <c r="A633" s="97"/>
    </row>
    <row r="634">
      <c r="A634" s="97"/>
    </row>
    <row r="635">
      <c r="A635" s="97"/>
    </row>
    <row r="636">
      <c r="A636" s="97"/>
    </row>
    <row r="637">
      <c r="A637" s="97"/>
    </row>
    <row r="638">
      <c r="A638" s="97"/>
    </row>
    <row r="639">
      <c r="A639" s="97"/>
    </row>
    <row r="640">
      <c r="A640" s="97"/>
    </row>
    <row r="641">
      <c r="A641" s="97"/>
    </row>
    <row r="642">
      <c r="A642" s="97"/>
    </row>
    <row r="643">
      <c r="A643" s="97"/>
    </row>
    <row r="644">
      <c r="A644" s="97"/>
    </row>
    <row r="645">
      <c r="A645" s="97"/>
    </row>
    <row r="646">
      <c r="A646" s="97"/>
    </row>
    <row r="647">
      <c r="A647" s="97"/>
    </row>
    <row r="648">
      <c r="A648" s="97"/>
    </row>
    <row r="649">
      <c r="A649" s="97"/>
    </row>
    <row r="650">
      <c r="A650" s="97"/>
    </row>
    <row r="651">
      <c r="A651" s="97"/>
    </row>
    <row r="652">
      <c r="A652" s="97"/>
    </row>
    <row r="653">
      <c r="A653" s="97"/>
    </row>
    <row r="654">
      <c r="A654" s="97"/>
    </row>
    <row r="655">
      <c r="A655" s="97"/>
    </row>
    <row r="656">
      <c r="A656" s="97"/>
    </row>
    <row r="657">
      <c r="A657" s="97"/>
    </row>
    <row r="658">
      <c r="A658" s="97"/>
    </row>
    <row r="659">
      <c r="A659" s="97"/>
    </row>
    <row r="660">
      <c r="A660" s="97"/>
    </row>
    <row r="661">
      <c r="A661" s="97"/>
    </row>
    <row r="662">
      <c r="A662" s="97"/>
    </row>
    <row r="663">
      <c r="A663" s="97"/>
    </row>
    <row r="664">
      <c r="A664" s="97"/>
    </row>
    <row r="665">
      <c r="A665" s="97"/>
    </row>
    <row r="666">
      <c r="A666" s="97"/>
    </row>
    <row r="667">
      <c r="A667" s="97"/>
    </row>
    <row r="668">
      <c r="A668" s="97"/>
    </row>
    <row r="669">
      <c r="A669" s="97"/>
    </row>
    <row r="670">
      <c r="A670" s="97"/>
    </row>
    <row r="671">
      <c r="A671" s="97"/>
    </row>
    <row r="672">
      <c r="A672" s="97"/>
    </row>
    <row r="673">
      <c r="A673" s="97"/>
    </row>
    <row r="674">
      <c r="A674" s="97"/>
    </row>
    <row r="675">
      <c r="A675" s="97"/>
    </row>
    <row r="676">
      <c r="A676" s="97"/>
    </row>
    <row r="677">
      <c r="A677" s="97"/>
    </row>
    <row r="678">
      <c r="A678" s="97"/>
    </row>
    <row r="679">
      <c r="A679" s="97"/>
    </row>
    <row r="680">
      <c r="A680" s="97"/>
    </row>
    <row r="681">
      <c r="A681" s="97"/>
    </row>
    <row r="682">
      <c r="A682" s="97"/>
    </row>
    <row r="683">
      <c r="A683" s="97"/>
    </row>
    <row r="684">
      <c r="A684" s="97"/>
    </row>
    <row r="685">
      <c r="A685" s="97"/>
    </row>
    <row r="686">
      <c r="A686" s="97"/>
    </row>
    <row r="687">
      <c r="A687" s="97"/>
    </row>
    <row r="688">
      <c r="A688" s="97"/>
    </row>
    <row r="689">
      <c r="A689" s="97"/>
    </row>
    <row r="690">
      <c r="A690" s="97"/>
    </row>
    <row r="691">
      <c r="A691" s="97"/>
    </row>
    <row r="692">
      <c r="A692" s="97"/>
    </row>
    <row r="693">
      <c r="A693" s="97"/>
    </row>
    <row r="694">
      <c r="A694" s="97"/>
    </row>
    <row r="695">
      <c r="A695" s="97"/>
    </row>
    <row r="696">
      <c r="A696" s="97"/>
    </row>
    <row r="697">
      <c r="A697" s="97"/>
    </row>
    <row r="698">
      <c r="A698" s="97"/>
    </row>
    <row r="699">
      <c r="A699" s="97"/>
    </row>
    <row r="700">
      <c r="A700" s="97"/>
    </row>
    <row r="701">
      <c r="A701" s="97"/>
    </row>
    <row r="702">
      <c r="A702" s="97"/>
    </row>
    <row r="703">
      <c r="A703" s="97"/>
    </row>
    <row r="704">
      <c r="A704" s="97"/>
    </row>
    <row r="705">
      <c r="A705" s="97"/>
    </row>
    <row r="706">
      <c r="A706" s="97"/>
    </row>
    <row r="707">
      <c r="A707" s="97"/>
    </row>
    <row r="708">
      <c r="A708" s="97"/>
    </row>
    <row r="709">
      <c r="A709" s="97"/>
    </row>
    <row r="710">
      <c r="A710" s="97"/>
    </row>
    <row r="711">
      <c r="A711" s="97"/>
    </row>
    <row r="712">
      <c r="A712" s="97"/>
    </row>
    <row r="713">
      <c r="A713" s="97"/>
    </row>
    <row r="714">
      <c r="A714" s="97"/>
    </row>
    <row r="715">
      <c r="A715" s="97"/>
    </row>
    <row r="716">
      <c r="A716" s="97"/>
    </row>
    <row r="717">
      <c r="A717" s="97"/>
    </row>
    <row r="718">
      <c r="A718" s="97"/>
    </row>
    <row r="719">
      <c r="A719" s="97"/>
    </row>
    <row r="720">
      <c r="A720" s="97"/>
    </row>
    <row r="721">
      <c r="A721" s="97"/>
    </row>
    <row r="722">
      <c r="A722" s="97"/>
    </row>
    <row r="723">
      <c r="A723" s="97"/>
    </row>
    <row r="724">
      <c r="A724" s="97"/>
    </row>
    <row r="725">
      <c r="A725" s="97"/>
    </row>
    <row r="726">
      <c r="A726" s="97"/>
    </row>
    <row r="727">
      <c r="A727" s="97"/>
    </row>
    <row r="728">
      <c r="A728" s="97"/>
    </row>
    <row r="729">
      <c r="A729" s="97"/>
    </row>
    <row r="730">
      <c r="A730" s="97"/>
    </row>
    <row r="731">
      <c r="A731" s="97"/>
    </row>
    <row r="732">
      <c r="A732" s="97"/>
    </row>
    <row r="733">
      <c r="A733" s="97"/>
    </row>
    <row r="734">
      <c r="A734" s="97"/>
    </row>
    <row r="735">
      <c r="A735" s="97"/>
    </row>
    <row r="736">
      <c r="A736" s="97"/>
    </row>
    <row r="737">
      <c r="A737" s="97"/>
    </row>
    <row r="738">
      <c r="A738" s="97"/>
    </row>
    <row r="739">
      <c r="A739" s="97"/>
    </row>
    <row r="740">
      <c r="A740" s="97"/>
    </row>
    <row r="741">
      <c r="A741" s="97"/>
    </row>
    <row r="742">
      <c r="A742" s="97"/>
    </row>
    <row r="743">
      <c r="A743" s="97"/>
    </row>
    <row r="744">
      <c r="A744" s="97"/>
    </row>
    <row r="745">
      <c r="A745" s="97"/>
    </row>
    <row r="746">
      <c r="A746" s="97"/>
    </row>
    <row r="747">
      <c r="A747" s="97"/>
    </row>
    <row r="748">
      <c r="A748" s="97"/>
    </row>
    <row r="749">
      <c r="A749" s="97"/>
    </row>
    <row r="750">
      <c r="A750" s="97"/>
    </row>
    <row r="751">
      <c r="A751" s="97"/>
    </row>
    <row r="752">
      <c r="A752" s="97"/>
    </row>
    <row r="753">
      <c r="A753" s="97"/>
    </row>
    <row r="754">
      <c r="A754" s="97"/>
    </row>
    <row r="755">
      <c r="A755" s="97"/>
    </row>
    <row r="756">
      <c r="A756" s="97"/>
    </row>
    <row r="757">
      <c r="A757" s="97"/>
    </row>
    <row r="758">
      <c r="A758" s="97"/>
    </row>
    <row r="759">
      <c r="A759" s="97"/>
    </row>
    <row r="760">
      <c r="A760" s="97"/>
    </row>
    <row r="761">
      <c r="A761" s="97"/>
    </row>
    <row r="762">
      <c r="A762" s="97"/>
    </row>
    <row r="763">
      <c r="A763" s="97"/>
    </row>
    <row r="764">
      <c r="A764" s="97"/>
    </row>
    <row r="765">
      <c r="A765" s="97"/>
    </row>
    <row r="766">
      <c r="A766" s="97"/>
    </row>
    <row r="767">
      <c r="A767" s="97"/>
    </row>
    <row r="768">
      <c r="A768" s="97"/>
    </row>
    <row r="769">
      <c r="A769" s="97"/>
    </row>
    <row r="770">
      <c r="A770" s="97"/>
    </row>
    <row r="771">
      <c r="A771" s="97"/>
    </row>
    <row r="772">
      <c r="A772" s="97"/>
    </row>
    <row r="773">
      <c r="A773" s="97"/>
    </row>
    <row r="774">
      <c r="A774" s="97"/>
    </row>
    <row r="775">
      <c r="A775" s="97"/>
    </row>
    <row r="776">
      <c r="A776" s="97"/>
    </row>
    <row r="777">
      <c r="A777" s="97"/>
    </row>
    <row r="778">
      <c r="A778" s="97"/>
    </row>
    <row r="779">
      <c r="A779" s="97"/>
    </row>
    <row r="780">
      <c r="A780" s="97"/>
    </row>
    <row r="781">
      <c r="A781" s="97"/>
    </row>
    <row r="782">
      <c r="A782" s="97"/>
    </row>
    <row r="783">
      <c r="A783" s="97"/>
    </row>
    <row r="784">
      <c r="A784" s="97"/>
    </row>
    <row r="785">
      <c r="A785" s="97"/>
    </row>
    <row r="786">
      <c r="A786" s="97"/>
    </row>
    <row r="787">
      <c r="A787" s="97"/>
    </row>
    <row r="788">
      <c r="A788" s="97"/>
    </row>
    <row r="789">
      <c r="A789" s="97"/>
    </row>
    <row r="790">
      <c r="A790" s="97"/>
    </row>
    <row r="791">
      <c r="A791" s="97"/>
    </row>
    <row r="792">
      <c r="A792" s="97"/>
    </row>
    <row r="793">
      <c r="A793" s="97"/>
    </row>
    <row r="794">
      <c r="A794" s="97"/>
    </row>
    <row r="795">
      <c r="A795" s="97"/>
    </row>
    <row r="796">
      <c r="A796" s="97"/>
    </row>
    <row r="797">
      <c r="A797" s="97"/>
    </row>
    <row r="798">
      <c r="A798" s="97"/>
    </row>
    <row r="799">
      <c r="A799" s="97"/>
    </row>
    <row r="800">
      <c r="A800" s="97"/>
    </row>
    <row r="801">
      <c r="A801" s="97"/>
    </row>
    <row r="802">
      <c r="A802" s="97"/>
    </row>
    <row r="803">
      <c r="A803" s="97"/>
    </row>
    <row r="804">
      <c r="A804" s="97"/>
    </row>
    <row r="805">
      <c r="A805" s="97"/>
    </row>
    <row r="806">
      <c r="A806" s="97"/>
    </row>
    <row r="807">
      <c r="A807" s="97"/>
    </row>
    <row r="808">
      <c r="A808" s="97"/>
    </row>
    <row r="809">
      <c r="A809" s="97"/>
    </row>
    <row r="810">
      <c r="A810" s="97"/>
    </row>
    <row r="811">
      <c r="A811" s="97"/>
    </row>
    <row r="812">
      <c r="A812" s="97"/>
    </row>
    <row r="813">
      <c r="A813" s="97"/>
    </row>
    <row r="814">
      <c r="A814" s="97"/>
    </row>
    <row r="815">
      <c r="A815" s="97"/>
    </row>
    <row r="816">
      <c r="A816" s="97"/>
    </row>
    <row r="817">
      <c r="A817" s="97"/>
    </row>
    <row r="818">
      <c r="A818" s="97"/>
    </row>
    <row r="819">
      <c r="A819" s="97"/>
    </row>
    <row r="820">
      <c r="A820" s="97"/>
    </row>
    <row r="821">
      <c r="A821" s="97"/>
    </row>
    <row r="822">
      <c r="A822" s="97"/>
    </row>
    <row r="823">
      <c r="A823" s="97"/>
    </row>
    <row r="824">
      <c r="A824" s="97"/>
    </row>
    <row r="825">
      <c r="A825" s="97"/>
    </row>
    <row r="826">
      <c r="A826" s="97"/>
    </row>
    <row r="827">
      <c r="A827" s="97"/>
    </row>
    <row r="828">
      <c r="A828" s="97"/>
    </row>
    <row r="829">
      <c r="A829" s="97"/>
    </row>
    <row r="830">
      <c r="A830" s="97"/>
    </row>
    <row r="831">
      <c r="A831" s="97"/>
    </row>
    <row r="832">
      <c r="A832" s="97"/>
    </row>
    <row r="833">
      <c r="A833" s="97"/>
    </row>
    <row r="834">
      <c r="A834" s="97"/>
    </row>
    <row r="835">
      <c r="A835" s="97"/>
    </row>
    <row r="836">
      <c r="A836" s="97"/>
    </row>
    <row r="837">
      <c r="A837" s="97"/>
    </row>
    <row r="838">
      <c r="A838" s="97"/>
    </row>
    <row r="839">
      <c r="A839" s="97"/>
    </row>
    <row r="840">
      <c r="A840" s="97"/>
    </row>
    <row r="841">
      <c r="A841" s="97"/>
    </row>
    <row r="842">
      <c r="A842" s="97"/>
    </row>
    <row r="843">
      <c r="A843" s="97"/>
    </row>
    <row r="844">
      <c r="A844" s="97"/>
    </row>
    <row r="845">
      <c r="A845" s="97"/>
    </row>
    <row r="846">
      <c r="A846" s="97"/>
    </row>
    <row r="847">
      <c r="A847" s="97"/>
    </row>
    <row r="848">
      <c r="A848" s="97"/>
    </row>
    <row r="849">
      <c r="A849" s="97"/>
    </row>
    <row r="850">
      <c r="A850" s="97"/>
    </row>
    <row r="851">
      <c r="A851" s="97"/>
    </row>
    <row r="852">
      <c r="A852" s="97"/>
    </row>
    <row r="853">
      <c r="A853" s="97"/>
    </row>
    <row r="854">
      <c r="A854" s="97"/>
    </row>
    <row r="855">
      <c r="A855" s="97"/>
    </row>
    <row r="856">
      <c r="A856" s="97"/>
    </row>
    <row r="857">
      <c r="A857" s="97"/>
    </row>
    <row r="858">
      <c r="A858" s="97"/>
    </row>
    <row r="859">
      <c r="A859" s="97"/>
    </row>
    <row r="860">
      <c r="A860" s="97"/>
    </row>
    <row r="861">
      <c r="A861" s="97"/>
    </row>
    <row r="862">
      <c r="A862" s="97"/>
    </row>
    <row r="863">
      <c r="A863" s="97"/>
    </row>
    <row r="864">
      <c r="A864" s="97"/>
    </row>
    <row r="865">
      <c r="A865" s="97"/>
    </row>
    <row r="866">
      <c r="A866" s="97"/>
    </row>
    <row r="867">
      <c r="A867" s="97"/>
    </row>
    <row r="868">
      <c r="A868" s="97"/>
    </row>
    <row r="869">
      <c r="A869" s="97"/>
    </row>
    <row r="870">
      <c r="A870" s="97"/>
    </row>
    <row r="871">
      <c r="A871" s="97"/>
    </row>
    <row r="872">
      <c r="A872" s="97"/>
    </row>
    <row r="873">
      <c r="A873" s="97"/>
    </row>
    <row r="874">
      <c r="A874" s="97"/>
    </row>
    <row r="875">
      <c r="A875" s="97"/>
    </row>
    <row r="876">
      <c r="A876" s="97"/>
    </row>
    <row r="877">
      <c r="A877" s="97"/>
    </row>
    <row r="878">
      <c r="A878" s="97"/>
    </row>
    <row r="879">
      <c r="A879" s="97"/>
    </row>
    <row r="880">
      <c r="A880" s="97"/>
    </row>
    <row r="881">
      <c r="A881" s="97"/>
    </row>
    <row r="882">
      <c r="A882" s="97"/>
    </row>
    <row r="883">
      <c r="A883" s="97"/>
    </row>
    <row r="884">
      <c r="A884" s="97"/>
    </row>
    <row r="885">
      <c r="A885" s="97"/>
    </row>
    <row r="886">
      <c r="A886" s="97"/>
    </row>
    <row r="887">
      <c r="A887" s="97"/>
    </row>
    <row r="888">
      <c r="A888" s="97"/>
    </row>
    <row r="889">
      <c r="A889" s="97"/>
    </row>
    <row r="890">
      <c r="A890" s="97"/>
    </row>
    <row r="891">
      <c r="A891" s="97"/>
    </row>
    <row r="892">
      <c r="A892" s="97"/>
    </row>
    <row r="893">
      <c r="A893" s="97"/>
    </row>
    <row r="894">
      <c r="A894" s="97"/>
    </row>
    <row r="895">
      <c r="A895" s="97"/>
    </row>
    <row r="896">
      <c r="A896" s="97"/>
    </row>
    <row r="897">
      <c r="A897" s="97"/>
    </row>
    <row r="898">
      <c r="A898" s="97"/>
    </row>
    <row r="899">
      <c r="A899" s="97"/>
    </row>
    <row r="900">
      <c r="A900" s="97"/>
    </row>
    <row r="901">
      <c r="A901" s="97"/>
    </row>
    <row r="902">
      <c r="A902" s="97"/>
    </row>
    <row r="903">
      <c r="A903" s="97"/>
    </row>
    <row r="904">
      <c r="A904" s="97"/>
    </row>
    <row r="905">
      <c r="A905" s="97"/>
    </row>
    <row r="906">
      <c r="A906" s="97"/>
    </row>
    <row r="907">
      <c r="A907" s="97"/>
    </row>
    <row r="908">
      <c r="A908" s="97"/>
    </row>
    <row r="909">
      <c r="A909" s="97"/>
    </row>
    <row r="910">
      <c r="A910" s="97"/>
    </row>
    <row r="911">
      <c r="A911" s="97"/>
    </row>
    <row r="912">
      <c r="A912" s="97"/>
    </row>
    <row r="913">
      <c r="A913" s="97"/>
    </row>
    <row r="914">
      <c r="A914" s="97"/>
    </row>
    <row r="915">
      <c r="A915" s="97"/>
    </row>
    <row r="916">
      <c r="A916" s="97"/>
    </row>
    <row r="917">
      <c r="A917" s="97"/>
    </row>
    <row r="918">
      <c r="A918" s="97"/>
    </row>
    <row r="919">
      <c r="A919" s="97"/>
    </row>
    <row r="920">
      <c r="A920" s="97"/>
    </row>
    <row r="921">
      <c r="A921" s="97"/>
    </row>
    <row r="922">
      <c r="A922" s="97"/>
    </row>
    <row r="923">
      <c r="A923" s="97"/>
    </row>
    <row r="924">
      <c r="A924" s="97"/>
    </row>
    <row r="925">
      <c r="A925" s="97"/>
    </row>
    <row r="926">
      <c r="A926" s="97"/>
    </row>
    <row r="927">
      <c r="A927" s="97"/>
    </row>
    <row r="928">
      <c r="A928" s="97"/>
    </row>
    <row r="929">
      <c r="A929" s="97"/>
    </row>
    <row r="930">
      <c r="A930" s="97"/>
    </row>
    <row r="931">
      <c r="A931" s="97"/>
    </row>
    <row r="932">
      <c r="A932" s="97"/>
    </row>
    <row r="933">
      <c r="A933" s="97"/>
    </row>
    <row r="934">
      <c r="A934" s="97"/>
    </row>
    <row r="935">
      <c r="A935" s="97"/>
    </row>
    <row r="936">
      <c r="A936" s="97"/>
    </row>
    <row r="937">
      <c r="A937" s="97"/>
    </row>
    <row r="938">
      <c r="A938" s="97"/>
    </row>
    <row r="939">
      <c r="A939" s="97"/>
    </row>
    <row r="940">
      <c r="A940" s="97"/>
    </row>
    <row r="941">
      <c r="A941" s="97"/>
    </row>
    <row r="942">
      <c r="A942" s="97"/>
    </row>
    <row r="943">
      <c r="A943" s="97"/>
    </row>
    <row r="944">
      <c r="A944" s="97"/>
    </row>
    <row r="945">
      <c r="A945" s="97"/>
    </row>
    <row r="946">
      <c r="A946" s="97"/>
    </row>
    <row r="947">
      <c r="A947" s="97"/>
    </row>
    <row r="948">
      <c r="A948" s="97"/>
    </row>
    <row r="949">
      <c r="A949" s="97"/>
    </row>
    <row r="950">
      <c r="A950" s="97"/>
    </row>
    <row r="951">
      <c r="A951" s="97"/>
    </row>
    <row r="952">
      <c r="A952" s="97"/>
    </row>
    <row r="953">
      <c r="A953" s="97"/>
    </row>
    <row r="954">
      <c r="A954" s="97"/>
    </row>
    <row r="955">
      <c r="A955" s="97"/>
    </row>
    <row r="956">
      <c r="A956" s="97"/>
    </row>
    <row r="957">
      <c r="A957" s="97"/>
    </row>
    <row r="958">
      <c r="A958" s="97"/>
    </row>
    <row r="959">
      <c r="A959" s="97"/>
    </row>
    <row r="960">
      <c r="A960" s="97"/>
    </row>
    <row r="961">
      <c r="A961" s="97"/>
    </row>
    <row r="962">
      <c r="A962" s="97"/>
    </row>
    <row r="963">
      <c r="A963" s="97"/>
    </row>
    <row r="964">
      <c r="A964" s="97"/>
    </row>
    <row r="965">
      <c r="A965" s="97"/>
    </row>
    <row r="966">
      <c r="A966" s="97"/>
    </row>
    <row r="967">
      <c r="A967" s="97"/>
    </row>
    <row r="968">
      <c r="A968" s="97"/>
    </row>
    <row r="969">
      <c r="A969" s="97"/>
    </row>
    <row r="970">
      <c r="A970" s="97"/>
    </row>
    <row r="971">
      <c r="A971" s="97"/>
    </row>
    <row r="972">
      <c r="A972" s="97"/>
    </row>
    <row r="973">
      <c r="A973" s="97"/>
    </row>
    <row r="974">
      <c r="A974" s="97"/>
    </row>
    <row r="975">
      <c r="A975" s="97"/>
    </row>
    <row r="976">
      <c r="A976" s="97"/>
    </row>
    <row r="977">
      <c r="A977" s="97"/>
    </row>
    <row r="978">
      <c r="A978" s="97"/>
    </row>
    <row r="979">
      <c r="A979" s="97"/>
    </row>
    <row r="980">
      <c r="A980" s="97"/>
    </row>
    <row r="981">
      <c r="A981" s="97"/>
    </row>
    <row r="982">
      <c r="A982" s="97"/>
    </row>
    <row r="983">
      <c r="A983" s="97"/>
    </row>
    <row r="984">
      <c r="A984" s="97"/>
    </row>
    <row r="985">
      <c r="A985" s="97"/>
    </row>
    <row r="986">
      <c r="A986" s="97"/>
    </row>
    <row r="987">
      <c r="A987" s="97"/>
    </row>
    <row r="988">
      <c r="A988" s="97"/>
    </row>
    <row r="989">
      <c r="A989" s="97"/>
    </row>
    <row r="990">
      <c r="A990" s="97"/>
    </row>
    <row r="991">
      <c r="A991" s="97"/>
    </row>
    <row r="992">
      <c r="A992" s="97"/>
    </row>
    <row r="993">
      <c r="A993" s="97"/>
    </row>
    <row r="994">
      <c r="A994" s="97"/>
    </row>
    <row r="995">
      <c r="A995" s="97"/>
    </row>
    <row r="996">
      <c r="A996" s="97"/>
    </row>
    <row r="997">
      <c r="A997" s="97"/>
    </row>
    <row r="998">
      <c r="A998" s="97"/>
    </row>
    <row r="999">
      <c r="A999" s="97"/>
    </row>
    <row r="1000">
      <c r="A1000" s="97"/>
    </row>
  </sheetData>
  <dataValidations>
    <dataValidation type="list" allowBlank="1" sqref="G70:G74">
      <formula1>"堀池Dr.　とやま,日野Dr.　城西,井上Dr.　城西,内田Dr.　静岡ホーム,梅内Dr.　静岡ホーム,野村Dr.　静岡ホーム,古谷Dr.　静岡ホーム,東静岡,平野Dr　平野"</formula1>
    </dataValidation>
    <dataValidation type="list" allowBlank="1" sqref="I2:I51">
      <formula1>"〇,×"</formula1>
    </dataValidation>
    <dataValidation type="list" allowBlank="1" sqref="G2:G51">
      <formula1>"堀池Dr.　とやま,日野Dr.　城西,井上Dr.　城西,内田Dr.　静岡ホーム,梅内Dr.　静岡ホーム,野村Dr.　静岡ホーム,古谷Dr.　静岡ホーム,東静岡,平野Dr　平野"</formula1>
    </dataValidation>
    <dataValidation type="custom" allowBlank="1" showDropDown="1" sqref="C2:C51 E2:E51">
      <formula1>OR(NOT(ISERROR(DATEVALUE(C2))), AND(ISNUMBER(C2), LEFT(CELL("format", C2))="D"))</formula1>
    </dataValidation>
    <dataValidation type="list" allowBlank="1" sqref="H64:H66 H69:H74">
      <formula1>"歩行器,多機能車椅子,チルト式車椅子,リクライニング式車椅子,手すり,その他"</formula1>
    </dataValidation>
    <dataValidation type="list" allowBlank="1" sqref="D2:D51">
      <formula1>"5,4,3,2,1"</formula1>
    </dataValidation>
    <dataValidation type="custom" allowBlank="1" showDropDown="1" sqref="A2:A51">
      <formula1>AND(ISNUMBER(A2),(NOT(OR(NOT(ISERROR(DATEVALUE(A2))), AND(ISNUMBER(A2), LEFT(CELL("format", A2))="D")))))</formula1>
    </dataValidation>
    <dataValidation type="list" allowBlank="1" sqref="D64:D66 D68:D74">
      <formula1>"5,4,3,2,1"</formula1>
    </dataValidation>
    <dataValidation type="list" allowBlank="1" sqref="H2:H51">
      <formula1>"歩行器,多機能車椅子,チルト式車椅子,リクライニング式車椅子,手すり,その他"</formula1>
    </dataValidation>
    <dataValidation type="list" allowBlank="1" sqref="G64:G66 G69">
      <formula1>"安部Dr.　とやま,外山Dr.　とやま,静岡ホーム,日野Dr.　城西,稲葉Dr.　城西,平野Dr　平野,東静岡"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169</v>
      </c>
      <c r="B1" s="110">
        <v>201.0</v>
      </c>
    </row>
    <row r="2">
      <c r="A2" s="78" t="s">
        <v>170</v>
      </c>
      <c r="B2" s="110">
        <v>202.0</v>
      </c>
    </row>
    <row r="3">
      <c r="A3" s="78" t="s">
        <v>172</v>
      </c>
      <c r="B3" s="110">
        <v>203.0</v>
      </c>
    </row>
    <row r="4">
      <c r="A4" s="78" t="s">
        <v>173</v>
      </c>
      <c r="B4" s="110">
        <v>204.0</v>
      </c>
    </row>
    <row r="5">
      <c r="A5" s="78" t="s">
        <v>85</v>
      </c>
      <c r="B5" s="110">
        <v>205.0</v>
      </c>
    </row>
    <row r="6">
      <c r="A6" s="78" t="s">
        <v>174</v>
      </c>
      <c r="B6" s="110">
        <v>206.0</v>
      </c>
    </row>
    <row r="7">
      <c r="A7" s="78" t="s">
        <v>175</v>
      </c>
      <c r="B7" s="110">
        <v>207.0</v>
      </c>
    </row>
    <row r="8">
      <c r="A8" s="78" t="s">
        <v>176</v>
      </c>
      <c r="B8" s="110">
        <v>208.0</v>
      </c>
    </row>
    <row r="9">
      <c r="A9" s="78" t="s">
        <v>178</v>
      </c>
      <c r="B9" s="110">
        <v>209.0</v>
      </c>
    </row>
    <row r="10">
      <c r="A10" s="78" t="s">
        <v>179</v>
      </c>
      <c r="B10" s="110">
        <v>210.0</v>
      </c>
    </row>
    <row r="11">
      <c r="A11" s="78" t="s">
        <v>180</v>
      </c>
      <c r="B11" s="110">
        <v>211.0</v>
      </c>
    </row>
    <row r="12">
      <c r="A12" s="78" t="s">
        <v>181</v>
      </c>
      <c r="B12" s="110">
        <v>212.0</v>
      </c>
    </row>
    <row r="13">
      <c r="A13" s="78" t="s">
        <v>182</v>
      </c>
      <c r="B13" s="110">
        <v>213.0</v>
      </c>
    </row>
    <row r="14">
      <c r="A14" s="78" t="s">
        <v>183</v>
      </c>
      <c r="B14" s="110">
        <v>214.0</v>
      </c>
    </row>
    <row r="15">
      <c r="A15" s="78" t="s">
        <v>184</v>
      </c>
      <c r="B15" s="110">
        <v>215.0</v>
      </c>
    </row>
    <row r="16">
      <c r="A16" s="78" t="s">
        <v>185</v>
      </c>
      <c r="B16" s="110">
        <v>216.0</v>
      </c>
    </row>
    <row r="17">
      <c r="A17" s="78" t="s">
        <v>186</v>
      </c>
      <c r="B17" s="110">
        <v>217.0</v>
      </c>
    </row>
    <row r="18">
      <c r="A18" s="78" t="s">
        <v>187</v>
      </c>
      <c r="B18" s="110">
        <v>218.0</v>
      </c>
    </row>
    <row r="19">
      <c r="A19" s="78" t="s">
        <v>188</v>
      </c>
      <c r="B19" s="110">
        <v>219.0</v>
      </c>
    </row>
    <row r="20">
      <c r="A20" s="78" t="s">
        <v>189</v>
      </c>
      <c r="B20" s="110">
        <v>220.0</v>
      </c>
    </row>
    <row r="21">
      <c r="A21" s="78" t="s">
        <v>190</v>
      </c>
      <c r="B21" s="110">
        <v>221.0</v>
      </c>
    </row>
    <row r="22">
      <c r="A22" s="78" t="s">
        <v>191</v>
      </c>
      <c r="B22" s="110">
        <v>222.0</v>
      </c>
    </row>
    <row r="23">
      <c r="A23" s="78" t="s">
        <v>193</v>
      </c>
      <c r="B23" s="110">
        <v>223.0</v>
      </c>
    </row>
    <row r="24">
      <c r="A24" s="78" t="s">
        <v>194</v>
      </c>
      <c r="B24" s="110">
        <v>224.0</v>
      </c>
    </row>
    <row r="25">
      <c r="A25" s="78" t="s">
        <v>195</v>
      </c>
      <c r="B25" s="110">
        <v>225.0</v>
      </c>
    </row>
    <row r="26">
      <c r="A26" s="78" t="s">
        <v>196</v>
      </c>
      <c r="B26" s="110">
        <v>301.0</v>
      </c>
    </row>
    <row r="27">
      <c r="A27" s="78" t="s">
        <v>198</v>
      </c>
      <c r="B27" s="110">
        <v>302.0</v>
      </c>
    </row>
    <row r="28">
      <c r="A28" s="78" t="s">
        <v>300</v>
      </c>
      <c r="B28" s="110">
        <v>303.0</v>
      </c>
    </row>
    <row r="29">
      <c r="A29" s="78" t="s">
        <v>200</v>
      </c>
      <c r="B29" s="110">
        <v>304.0</v>
      </c>
    </row>
    <row r="30">
      <c r="A30" s="78" t="s">
        <v>201</v>
      </c>
      <c r="B30" s="110">
        <v>305.0</v>
      </c>
    </row>
    <row r="31">
      <c r="A31" s="78" t="s">
        <v>202</v>
      </c>
      <c r="B31" s="110">
        <v>306.0</v>
      </c>
    </row>
    <row r="32">
      <c r="A32" s="78" t="s">
        <v>203</v>
      </c>
      <c r="B32" s="110">
        <v>307.0</v>
      </c>
    </row>
    <row r="33">
      <c r="A33" s="78" t="s">
        <v>204</v>
      </c>
      <c r="B33" s="110">
        <v>308.0</v>
      </c>
    </row>
    <row r="34">
      <c r="A34" s="78" t="s">
        <v>205</v>
      </c>
      <c r="B34" s="110">
        <v>309.0</v>
      </c>
    </row>
    <row r="35">
      <c r="A35" s="78" t="s">
        <v>206</v>
      </c>
      <c r="B35" s="110">
        <v>310.0</v>
      </c>
    </row>
    <row r="36">
      <c r="A36" s="78" t="s">
        <v>207</v>
      </c>
      <c r="B36" s="110">
        <v>311.0</v>
      </c>
    </row>
    <row r="37">
      <c r="A37" s="78" t="s">
        <v>208</v>
      </c>
      <c r="B37" s="110">
        <v>312.0</v>
      </c>
    </row>
    <row r="38">
      <c r="A38" s="78" t="s">
        <v>209</v>
      </c>
      <c r="B38" s="110">
        <v>313.0</v>
      </c>
    </row>
    <row r="39">
      <c r="A39" s="78" t="s">
        <v>210</v>
      </c>
      <c r="B39" s="110">
        <v>314.0</v>
      </c>
    </row>
    <row r="40">
      <c r="A40" s="78" t="s">
        <v>211</v>
      </c>
      <c r="B40" s="110">
        <v>315.0</v>
      </c>
    </row>
    <row r="41">
      <c r="A41" s="78" t="s">
        <v>212</v>
      </c>
      <c r="B41" s="110">
        <v>316.0</v>
      </c>
    </row>
    <row r="42">
      <c r="A42" s="78" t="s">
        <v>213</v>
      </c>
      <c r="B42" s="110">
        <v>317.0</v>
      </c>
    </row>
    <row r="43">
      <c r="A43" s="78" t="s">
        <v>214</v>
      </c>
      <c r="B43" s="110">
        <v>318.0</v>
      </c>
    </row>
    <row r="44">
      <c r="A44" s="78" t="s">
        <v>215</v>
      </c>
      <c r="B44" s="110">
        <v>319.0</v>
      </c>
    </row>
    <row r="45">
      <c r="A45" s="78" t="s">
        <v>216</v>
      </c>
      <c r="B45" s="110">
        <v>320.0</v>
      </c>
    </row>
    <row r="46">
      <c r="A46" s="78" t="s">
        <v>217</v>
      </c>
      <c r="B46" s="110">
        <v>321.0</v>
      </c>
    </row>
    <row r="47">
      <c r="A47" s="78" t="s">
        <v>219</v>
      </c>
      <c r="B47" s="110">
        <v>322.0</v>
      </c>
    </row>
    <row r="48">
      <c r="A48" s="78" t="s">
        <v>220</v>
      </c>
      <c r="B48" s="110">
        <v>323.0</v>
      </c>
    </row>
    <row r="49">
      <c r="A49" s="78" t="s">
        <v>221</v>
      </c>
      <c r="B49" s="110">
        <v>324.0</v>
      </c>
    </row>
    <row r="50">
      <c r="A50" s="78" t="s">
        <v>222</v>
      </c>
      <c r="B50" s="110">
        <v>325.0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8" t="s">
        <v>279</v>
      </c>
      <c r="C2" s="78" t="s">
        <v>280</v>
      </c>
    </row>
    <row r="3">
      <c r="C3" s="78" t="s">
        <v>281</v>
      </c>
    </row>
    <row r="4">
      <c r="C4" s="78" t="s">
        <v>282</v>
      </c>
    </row>
    <row r="5">
      <c r="C5" s="78" t="s">
        <v>283</v>
      </c>
    </row>
    <row r="6">
      <c r="C6" s="78" t="s">
        <v>284</v>
      </c>
    </row>
    <row r="7">
      <c r="B7" s="78" t="s">
        <v>285</v>
      </c>
      <c r="C7" s="78" t="s">
        <v>286</v>
      </c>
    </row>
    <row r="8">
      <c r="C8" s="78" t="s">
        <v>287</v>
      </c>
    </row>
    <row r="9">
      <c r="C9" s="78" t="s">
        <v>288</v>
      </c>
    </row>
    <row r="10">
      <c r="C10" s="78" t="s">
        <v>289</v>
      </c>
    </row>
    <row r="11">
      <c r="C11" s="78" t="s">
        <v>290</v>
      </c>
    </row>
    <row r="12">
      <c r="C12" s="78" t="s">
        <v>284</v>
      </c>
    </row>
    <row r="13">
      <c r="B13" s="78" t="s">
        <v>291</v>
      </c>
      <c r="C13" s="78" t="s">
        <v>281</v>
      </c>
    </row>
    <row r="14">
      <c r="C14" s="78" t="s">
        <v>282</v>
      </c>
    </row>
    <row r="15">
      <c r="C15" s="78" t="s">
        <v>290</v>
      </c>
    </row>
    <row r="16">
      <c r="C16" s="78" t="s">
        <v>292</v>
      </c>
    </row>
    <row r="17">
      <c r="C17" s="78" t="s">
        <v>293</v>
      </c>
    </row>
    <row r="18">
      <c r="C18" s="78" t="s">
        <v>294</v>
      </c>
    </row>
    <row r="19">
      <c r="B19" s="78" t="s">
        <v>295</v>
      </c>
      <c r="C19" s="78" t="s">
        <v>286</v>
      </c>
    </row>
    <row r="20">
      <c r="C20" s="78" t="s">
        <v>288</v>
      </c>
    </row>
    <row r="21">
      <c r="C21" s="78" t="s">
        <v>296</v>
      </c>
    </row>
    <row r="22">
      <c r="C22" s="78" t="s">
        <v>297</v>
      </c>
    </row>
    <row r="23">
      <c r="B23" s="78" t="s">
        <v>298</v>
      </c>
      <c r="C23" s="78" t="s">
        <v>299</v>
      </c>
    </row>
  </sheetData>
  <drawing r:id="rId1"/>
</worksheet>
</file>